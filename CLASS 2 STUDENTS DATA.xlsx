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entERP\"/>
    </mc:Choice>
  </mc:AlternateContent>
  <xr:revisionPtr revIDLastSave="0" documentId="13_ncr:1_{A2A2F0ED-A4DE-49EB-BB6C-4A8E8C6D0742}" xr6:coauthVersionLast="47" xr6:coauthVersionMax="47" xr10:uidLastSave="{00000000-0000-0000-0000-000000000000}"/>
  <bookViews>
    <workbookView xWindow="-120" yWindow="-120" windowWidth="29040" windowHeight="15840" activeTab="1" xr2:uid="{D8F195E3-1960-4A52-9721-728041F2BB84}"/>
  </bookViews>
  <sheets>
    <sheet name="Sheet1" sheetId="1" r:id="rId1"/>
    <sheet name="Sheet2" sheetId="2" r:id="rId2"/>
  </sheets>
  <definedNames>
    <definedName name="_xlnm.Print_Titles" localSheetId="0">Sheet1!$1:$3</definedName>
    <definedName name="_xlnm.Print_Titles" localSheetId="1">Sheet2!$2:$4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</calcChain>
</file>

<file path=xl/sharedStrings.xml><?xml version="1.0" encoding="utf-8"?>
<sst xmlns="http://schemas.openxmlformats.org/spreadsheetml/2006/main" count="367" uniqueCount="294">
  <si>
    <t xml:space="preserve">SL. NO. </t>
  </si>
  <si>
    <t>SUBJECT</t>
  </si>
  <si>
    <t>DOB</t>
  </si>
  <si>
    <t xml:space="preserve">AADHAAR NO. </t>
  </si>
  <si>
    <t xml:space="preserve">MOBILE NO. </t>
  </si>
  <si>
    <t>ADMISSION IN CLASS</t>
  </si>
  <si>
    <t xml:space="preserve">DATE OF ADMISSION </t>
  </si>
  <si>
    <t>ADMISSION NO.</t>
  </si>
  <si>
    <t xml:space="preserve">SEX /  CAST </t>
  </si>
  <si>
    <t>13/24</t>
  </si>
  <si>
    <t xml:space="preserve">MALE </t>
  </si>
  <si>
    <t>15/02/2016</t>
  </si>
  <si>
    <t>9835233700 
7070700234</t>
  </si>
  <si>
    <t>287/22</t>
  </si>
  <si>
    <t>31/10/2018</t>
  </si>
  <si>
    <t>3361 3419 9483</t>
  </si>
  <si>
    <t>8405832610 
9241443251</t>
  </si>
  <si>
    <t>195/23</t>
  </si>
  <si>
    <t>20/07/2017</t>
  </si>
  <si>
    <t>277/24</t>
  </si>
  <si>
    <t>14/08/2015</t>
  </si>
  <si>
    <t>5902 8404 9833</t>
  </si>
  <si>
    <t>12/23</t>
  </si>
  <si>
    <t>232/22</t>
  </si>
  <si>
    <t>83/24</t>
  </si>
  <si>
    <t>8224 6204 9043</t>
  </si>
  <si>
    <t>122/22</t>
  </si>
  <si>
    <t>03/02/2017</t>
  </si>
  <si>
    <t>02/06/2016</t>
  </si>
  <si>
    <t>6289 6924 5581</t>
  </si>
  <si>
    <t>207/22</t>
  </si>
  <si>
    <t>02/03/2015</t>
  </si>
  <si>
    <t>9142345007 
9142343007</t>
  </si>
  <si>
    <t>9340700221 
9905857695</t>
  </si>
  <si>
    <t>277/22</t>
  </si>
  <si>
    <t>20/09/2017</t>
  </si>
  <si>
    <t>187/23</t>
  </si>
  <si>
    <t>7870840503 
8454857833</t>
  </si>
  <si>
    <t>7023 6366 9281</t>
  </si>
  <si>
    <t>128/24</t>
  </si>
  <si>
    <t>9748 3558 5895</t>
  </si>
  <si>
    <t>8507584513 
7061077293</t>
  </si>
  <si>
    <t>135/24</t>
  </si>
  <si>
    <t>11/05/2015</t>
  </si>
  <si>
    <t>8515 9192 2432</t>
  </si>
  <si>
    <t>05/25</t>
  </si>
  <si>
    <t>6200969092 
9934582325</t>
  </si>
  <si>
    <t>30/25</t>
  </si>
  <si>
    <t>03/07/2018</t>
  </si>
  <si>
    <t>9709096819 
9608601850</t>
  </si>
  <si>
    <t>46/25</t>
  </si>
  <si>
    <t>114/25</t>
  </si>
  <si>
    <t>13/06/2014</t>
  </si>
  <si>
    <t>5877 8122 7287</t>
  </si>
  <si>
    <t>130/25</t>
  </si>
  <si>
    <t>11/01/2016</t>
  </si>
  <si>
    <t>2017</t>
  </si>
  <si>
    <t>5418 7382 5632</t>
  </si>
  <si>
    <t>162/25</t>
  </si>
  <si>
    <t>02/07/2015</t>
  </si>
  <si>
    <t>190/25</t>
  </si>
  <si>
    <t>5568 8294 9708</t>
  </si>
  <si>
    <t>16/09/2016</t>
  </si>
  <si>
    <t>218/25</t>
  </si>
  <si>
    <t>24/01/2016</t>
  </si>
  <si>
    <t>221/25</t>
  </si>
  <si>
    <t>26/06/2015</t>
  </si>
  <si>
    <t>2887 9751 4583</t>
  </si>
  <si>
    <t>234/25</t>
  </si>
  <si>
    <t>FEMALE</t>
  </si>
  <si>
    <t>01/01/2016</t>
  </si>
  <si>
    <t>9570997401 
8252680599</t>
  </si>
  <si>
    <t>188/23</t>
  </si>
  <si>
    <t>28/09/2016</t>
  </si>
  <si>
    <t>9031559175 
9153105731</t>
  </si>
  <si>
    <t>267/22</t>
  </si>
  <si>
    <t>01/03/2018</t>
  </si>
  <si>
    <t>311/23</t>
  </si>
  <si>
    <t>231/22</t>
  </si>
  <si>
    <t>27/09/2016</t>
  </si>
  <si>
    <t>6206492265 
8873375295</t>
  </si>
  <si>
    <t>01/08/2020</t>
  </si>
  <si>
    <t>7633809720 
7857985670</t>
  </si>
  <si>
    <t>149/23</t>
  </si>
  <si>
    <t>10/05/2017</t>
  </si>
  <si>
    <t>6308 4608 6008</t>
  </si>
  <si>
    <t>8406081776 
6207178571</t>
  </si>
  <si>
    <t>155/23</t>
  </si>
  <si>
    <t>20/07/2019</t>
  </si>
  <si>
    <t>163/2022</t>
  </si>
  <si>
    <t>30/12/2017</t>
  </si>
  <si>
    <t>8757778677 
8789484746</t>
  </si>
  <si>
    <t>152/22</t>
  </si>
  <si>
    <t>01/06/2016</t>
  </si>
  <si>
    <t>23/11/2015</t>
  </si>
  <si>
    <t>85/23</t>
  </si>
  <si>
    <t>8894 9505 1942</t>
  </si>
  <si>
    <t>8252206781 
9576929612</t>
  </si>
  <si>
    <t>161/22</t>
  </si>
  <si>
    <t>01/10/2016</t>
  </si>
  <si>
    <t>4005 4175 4383</t>
  </si>
  <si>
    <t>9708298012 
7763004910</t>
  </si>
  <si>
    <t>30/10/2016</t>
  </si>
  <si>
    <t>222/23</t>
  </si>
  <si>
    <t>11/01/2017</t>
  </si>
  <si>
    <t>9498 8874 7273</t>
  </si>
  <si>
    <t>65/23</t>
  </si>
  <si>
    <t>03/09/2018</t>
  </si>
  <si>
    <t>7/24</t>
  </si>
  <si>
    <t>7370 5842 5756</t>
  </si>
  <si>
    <t>9891463323 
7294907286</t>
  </si>
  <si>
    <t>9/24</t>
  </si>
  <si>
    <t>74/24</t>
  </si>
  <si>
    <t>9457 6929 8755</t>
  </si>
  <si>
    <t>7079 6354 7984</t>
  </si>
  <si>
    <t>222/24</t>
  </si>
  <si>
    <t>7187 2369 9367</t>
  </si>
  <si>
    <t>03/24</t>
  </si>
  <si>
    <t>14/09/2022</t>
  </si>
  <si>
    <t>3060 3625 3255</t>
  </si>
  <si>
    <t>9304623558 
9304614062</t>
  </si>
  <si>
    <t>06/25</t>
  </si>
  <si>
    <t>06/08/2018</t>
  </si>
  <si>
    <t>19/25</t>
  </si>
  <si>
    <t>10/02/2018</t>
  </si>
  <si>
    <t>6665 2767 8193</t>
  </si>
  <si>
    <t>105/25</t>
  </si>
  <si>
    <t>25/05/2017</t>
  </si>
  <si>
    <t>7045 5256 3637</t>
  </si>
  <si>
    <t>121/25</t>
  </si>
  <si>
    <t>02/02/2018</t>
  </si>
  <si>
    <t>54/23</t>
  </si>
  <si>
    <t>22/12/2017</t>
  </si>
  <si>
    <t>220/25</t>
  </si>
  <si>
    <t>Student_code</t>
  </si>
  <si>
    <t>Candidate_name</t>
  </si>
  <si>
    <t>Father's name</t>
  </si>
  <si>
    <t>Mother_name</t>
  </si>
  <si>
    <t>SONI PERWEEN</t>
  </si>
  <si>
    <t>SANAWAR KHAN</t>
  </si>
  <si>
    <t>GURIYA KHATOON</t>
  </si>
  <si>
    <t>SAIMA KHANAM</t>
  </si>
  <si>
    <t>MD AKBAR</t>
  </si>
  <si>
    <t>TARANNUM PERWEEN</t>
  </si>
  <si>
    <t>SOFIYA PERWEEN</t>
  </si>
  <si>
    <t>MD MAHMOOD ALAM</t>
  </si>
  <si>
    <t>ANAU KHATOON</t>
  </si>
  <si>
    <t>UAMR ALI</t>
  </si>
  <si>
    <t>MD LEYAQUT ALI</t>
  </si>
  <si>
    <t>RAUSHAN ARA</t>
  </si>
  <si>
    <t>UMRA RASHID</t>
  </si>
  <si>
    <t>MD RASHID</t>
  </si>
  <si>
    <t>ISHRAT PERWEEN</t>
  </si>
  <si>
    <t>YUSHRA AHMAD</t>
  </si>
  <si>
    <t>IFTEKHAR AHMAD</t>
  </si>
  <si>
    <t>ANGABEEN ENAM</t>
  </si>
  <si>
    <t>AREEBA FIRDOUS</t>
  </si>
  <si>
    <t>AARIFUDDIN</t>
  </si>
  <si>
    <t>NAGHMA PERWEEN</t>
  </si>
  <si>
    <t>ANUSHKA KUMARI</t>
  </si>
  <si>
    <t>AMOO KUMAR</t>
  </si>
  <si>
    <t>RINKU KUMARI</t>
  </si>
  <si>
    <t>SAIMA PERWEEN</t>
  </si>
  <si>
    <t>MD SALAUDDIN</t>
  </si>
  <si>
    <t>RESHMA PERWEEN</t>
  </si>
  <si>
    <t>KASHAF FATIMA</t>
  </si>
  <si>
    <t>MD IMRAN KHAN</t>
  </si>
  <si>
    <t>RESHMI PERWEEN</t>
  </si>
  <si>
    <t>SABIYA NAAZ</t>
  </si>
  <si>
    <t>MD SHANEWAZ</t>
  </si>
  <si>
    <t>NAINI KHATOON</t>
  </si>
  <si>
    <t>MAHIRA NOUSHIN</t>
  </si>
  <si>
    <t>MD MAHTAB</t>
  </si>
  <si>
    <t>KHUSBOO BANO</t>
  </si>
  <si>
    <t>NUSHRAT PERWEEN</t>
  </si>
  <si>
    <t>MD ASLAM ALI ANSARI</t>
  </si>
  <si>
    <t>MOJIVUN NISHA</t>
  </si>
  <si>
    <t>AFIYA TAHSEEN</t>
  </si>
  <si>
    <t>MD MUMTAZIM ALAM</t>
  </si>
  <si>
    <t>NAZIA PERWEEN</t>
  </si>
  <si>
    <t>ADIBA SHAHNAWAZ</t>
  </si>
  <si>
    <t>MD SHAHNAWAZ</t>
  </si>
  <si>
    <t>AYESHA KHANAM</t>
  </si>
  <si>
    <t>FATIMA KHATOON</t>
  </si>
  <si>
    <t>MD UTALA</t>
  </si>
  <si>
    <t>JAHANA KHATOON</t>
  </si>
  <si>
    <t>URAIZA FATIMA</t>
  </si>
  <si>
    <t>TAUSIF KHAN</t>
  </si>
  <si>
    <t>GULSHAN ARA</t>
  </si>
  <si>
    <t>IQRA ASHFAQUE</t>
  </si>
  <si>
    <t>MD ASHFAQUE</t>
  </si>
  <si>
    <t>SHAZIYA PERWEEN</t>
  </si>
  <si>
    <t>MAHIRA ANWAR</t>
  </si>
  <si>
    <t>MD ANWAR</t>
  </si>
  <si>
    <t>NAUSHEEN MEHAR</t>
  </si>
  <si>
    <t>ALISHA PERWEEN</t>
  </si>
  <si>
    <t>HEENA KHATOON</t>
  </si>
  <si>
    <t>AYESHA FATIMA</t>
  </si>
  <si>
    <t>MD ISMAIL</t>
  </si>
  <si>
    <t>NEHA PERWEEN</t>
  </si>
  <si>
    <t>ARISHA KHATOON</t>
  </si>
  <si>
    <t>AMIR KHUSARU</t>
  </si>
  <si>
    <t>NEHA KHAN</t>
  </si>
  <si>
    <t>AAMNA ANSARI</t>
  </si>
  <si>
    <t>MD AFTAB</t>
  </si>
  <si>
    <t>SUFIYA PERWEEN</t>
  </si>
  <si>
    <t>ALIYA ZAFAR</t>
  </si>
  <si>
    <t>MD ZAFAR QURAISHI</t>
  </si>
  <si>
    <t>ROSHAN JAHAN</t>
  </si>
  <si>
    <t>NASRA PERVEEN</t>
  </si>
  <si>
    <t>MOHAMMAD SHAHZAD</t>
  </si>
  <si>
    <t>ZEBA PERWEEN</t>
  </si>
  <si>
    <t>MD NAUSHAD</t>
  </si>
  <si>
    <t>RUMI KHATOON</t>
  </si>
  <si>
    <t>LABIBA PERWEEN</t>
  </si>
  <si>
    <t>SOIBUR RAHMAN</t>
  </si>
  <si>
    <t>KOUSAL PERWEEN</t>
  </si>
  <si>
    <t>SOAIB IQBAL</t>
  </si>
  <si>
    <t>MD RIZWAN</t>
  </si>
  <si>
    <t>MASUMA PERWEEN</t>
  </si>
  <si>
    <t>MD IMRAN</t>
  </si>
  <si>
    <t>MD SALIM</t>
  </si>
  <si>
    <t>ASMA KHATOON</t>
  </si>
  <si>
    <t>MD KAZIM ALAM</t>
  </si>
  <si>
    <t>MD ASIF ALAM</t>
  </si>
  <si>
    <t>KHUSNUDA PERWEEN</t>
  </si>
  <si>
    <t>MD RAZIK</t>
  </si>
  <si>
    <t>MD TABREZ ALAM</t>
  </si>
  <si>
    <t>RUKSHAR PERWEEN</t>
  </si>
  <si>
    <t>MD UMAR ALI</t>
  </si>
  <si>
    <t>MD FAZAL</t>
  </si>
  <si>
    <t>MD FAHEEM</t>
  </si>
  <si>
    <t>SHAMA PERWEEN</t>
  </si>
  <si>
    <t>AHAD RAZA</t>
  </si>
  <si>
    <t>MD SADARUDDIN</t>
  </si>
  <si>
    <t>SAMIA PERWEEN</t>
  </si>
  <si>
    <t>MD MERAJ</t>
  </si>
  <si>
    <t>MD CHUNNU</t>
  </si>
  <si>
    <t>MAHZABI KHATOON</t>
  </si>
  <si>
    <t>HANSRAJ</t>
  </si>
  <si>
    <t>SHARVAN KUMAR</t>
  </si>
  <si>
    <t>REENA DEVI</t>
  </si>
  <si>
    <t>MD PARVEJ</t>
  </si>
  <si>
    <t>SHAKILA KHATOON</t>
  </si>
  <si>
    <t>ASHZAD RAZA RAHMANI</t>
  </si>
  <si>
    <t>ABDUL KALAM RAHMANI</t>
  </si>
  <si>
    <t>ISHRAT JAHAN</t>
  </si>
  <si>
    <t>MD EKRAM</t>
  </si>
  <si>
    <t>MD AHSAN</t>
  </si>
  <si>
    <t>SANA AFSHAN</t>
  </si>
  <si>
    <t>MD SARFARAZ AMIR</t>
  </si>
  <si>
    <t>MD AMIR</t>
  </si>
  <si>
    <t>SUBI KHATOON</t>
  </si>
  <si>
    <t>MD ALI</t>
  </si>
  <si>
    <t>TOUFIQUE</t>
  </si>
  <si>
    <t>SHAHANI PERWEEN</t>
  </si>
  <si>
    <t>MUZAMMIL KHAN</t>
  </si>
  <si>
    <t>IMRAN KHAN</t>
  </si>
  <si>
    <t>RAZIYA KHATOON</t>
  </si>
  <si>
    <t>MD FARHAN</t>
  </si>
  <si>
    <t>MD SERAJ</t>
  </si>
  <si>
    <t>SHABANA KHATOON</t>
  </si>
  <si>
    <t>DILKASH AMIR</t>
  </si>
  <si>
    <t>MD ABDUL AHAD</t>
  </si>
  <si>
    <t>ALINA PERWEEN</t>
  </si>
  <si>
    <t>AZHAN ALAM</t>
  </si>
  <si>
    <t>MD ANZAR ALAM</t>
  </si>
  <si>
    <t>ZEBA KHATOON</t>
  </si>
  <si>
    <t>MD MIZAN ABDUL</t>
  </si>
  <si>
    <t>MD ABDUL WAHID</t>
  </si>
  <si>
    <t>FARHAT KHATOON</t>
  </si>
  <si>
    <t>MD RIZWAN ANSARI</t>
  </si>
  <si>
    <t>MD ZAHID ANSARI</t>
  </si>
  <si>
    <t>RUKSHANA KHATOON</t>
  </si>
  <si>
    <t>MOHAMMAD HAMZA NISHAD</t>
  </si>
  <si>
    <t>MOHAMMAD NISHAD</t>
  </si>
  <si>
    <t>RANI KHATOON</t>
  </si>
  <si>
    <t>MUHAMMAD SAMAR</t>
  </si>
  <si>
    <t>MD GORE</t>
  </si>
  <si>
    <t>GURIYA</t>
  </si>
  <si>
    <t>MD SHAYAN</t>
  </si>
  <si>
    <t>MD SARFARAZ</t>
  </si>
  <si>
    <t>ZEBA NAAZ</t>
  </si>
  <si>
    <t>MD AYAN</t>
  </si>
  <si>
    <t>MD SHAHEB</t>
  </si>
  <si>
    <t>TARA PERWEEN</t>
  </si>
  <si>
    <t>MD NOOR ALI</t>
  </si>
  <si>
    <t>MD MASROOR ALAM</t>
  </si>
  <si>
    <t>SEEMA NAAZ</t>
  </si>
  <si>
    <t>SAYEEDUR RAHMAN</t>
  </si>
  <si>
    <t>SAIBUR RAHMAN</t>
  </si>
  <si>
    <t>MD ANAS</t>
  </si>
  <si>
    <t>MD SHAHID</t>
  </si>
  <si>
    <t>SULTANA PERWEEN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</si>
</sst>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0" fillId="0" borderId="0" xfId="0" applyNumberFormat="1" applyAlignme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39B83-8225-4649-A8FF-24B5F46F4A71}" name="Table1" displayName="Table1" ref="A1:L28" totalsRowShown="0" headerRowDxfId="0" dataDxfId="1" headerRowBorderDxfId="15" tableBorderDxfId="16" totalsRowBorderDxfId="14">
  <autoFilter ref="A1:L28" xr:uid="{19B39B83-8225-4649-A8FF-24B5F46F4A71}"/>
  <tableColumns count="12">
    <tableColumn id="1" xr3:uid="{402D968A-6235-4781-A283-47D7D653E4D3}" name="Student_code" dataDxfId="13">
      <calculatedColumnFormula>"ZPS-" &amp; RIGHT(TRIM(MID(K2, FIND("/",K2)+1, 10)),2) &amp; "-" &amp; TEXT(LEFT(K2, FIND("/",K2)-1), "0000")</calculatedColumnFormula>
    </tableColumn>
    <tableColumn id="2" xr3:uid="{7BD460C5-8506-4FF8-B099-9771B15BA086}" name="SL. NO. " dataDxfId="12"/>
    <tableColumn id="3" xr3:uid="{3CDB97A6-C508-40B5-BADE-8B804E1C1D9C}" name="Candidate_name" dataDxfId="11"/>
    <tableColumn id="4" xr3:uid="{0EB2095A-94D8-4E7A-8437-68932631F5B6}" name="Father's name" dataDxfId="10"/>
    <tableColumn id="5" xr3:uid="{1D1BB2CC-71C1-4042-A60B-8B814BD8C1D5}" name="Mother_name" dataDxfId="9"/>
    <tableColumn id="6" xr3:uid="{C5628167-9BC2-47B2-A4AB-9880883251B8}" name="SEX /  CAST " dataDxfId="8"/>
    <tableColumn id="7" xr3:uid="{36A2D9FC-C0DC-4CD9-952F-15F9147C2C1C}" name="DOB" dataDxfId="7"/>
    <tableColumn id="8" xr3:uid="{F8A1E419-7805-457F-99E6-91CA562C29DD}" name="AADHAAR NO. " dataDxfId="6"/>
    <tableColumn id="9" xr3:uid="{6BB2DB3E-CBE5-4762-B8E8-6D37D4DD76B1}" name="MOBILE NO. " dataDxfId="5"/>
    <tableColumn id="10" xr3:uid="{CE806604-7CAB-4512-B3E5-5CBA5538D665}" name="ADMISSION IN CLASS" dataDxfId="4"/>
    <tableColumn id="11" xr3:uid="{E461F215-F9B1-42F8-8237-7F9322A25B7A}" name="ADMISSION NO." dataDxfId="3"/>
    <tableColumn id="12" xr3:uid="{2FC30844-D287-4D9F-A3F8-913357418D50}" name="DATE OF ADMISSION 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7C7F-0770-4B3D-8749-0C30D6790EB0}">
  <sheetPr>
    <pageSetUpPr fitToPage="1"/>
  </sheetPr>
  <dimension ref="A1:M28"/>
  <sheetViews>
    <sheetView workbookViewId="0">
      <selection activeCell="C1" sqref="C1:E1"/>
    </sheetView>
  </sheetViews>
  <sheetFormatPr defaultRowHeight="15" customHeight="1" x14ac:dyDescent="0.25"/>
  <cols>
    <col min="1" max="1" width="15.7109375" style="2" customWidth="1"/>
    <col min="2" max="2" width="10.42578125" style="2" customWidth="1"/>
    <col min="3" max="3" width="20.140625" style="2" bestFit="1" customWidth="1"/>
    <col min="4" max="4" width="23.5703125" style="2" bestFit="1" customWidth="1"/>
    <col min="5" max="5" width="22.42578125" style="2" bestFit="1" customWidth="1"/>
    <col min="6" max="6" width="14.28515625" style="2" customWidth="1"/>
    <col min="7" max="7" width="11.85546875" style="2" bestFit="1" customWidth="1"/>
    <col min="8" max="8" width="17.140625" style="2" customWidth="1"/>
    <col min="9" max="9" width="26.140625" style="2" bestFit="1" customWidth="1"/>
    <col min="10" max="10" width="22.5703125" style="2" customWidth="1"/>
    <col min="11" max="11" width="18" style="2" customWidth="1"/>
    <col min="12" max="12" width="23.140625" style="2" customWidth="1"/>
    <col min="14" max="16384" width="9.140625" style="2"/>
  </cols>
  <sheetData>
    <row r="1" spans="1:12" ht="15" customHeight="1" x14ac:dyDescent="0.25">
      <c r="A1" s="13" t="s">
        <v>134</v>
      </c>
      <c r="B1" s="14" t="s">
        <v>0</v>
      </c>
      <c r="C1" s="14" t="s">
        <v>135</v>
      </c>
      <c r="D1" s="14" t="s">
        <v>136</v>
      </c>
      <c r="E1" s="14" t="s">
        <v>137</v>
      </c>
      <c r="F1" s="14" t="s">
        <v>8</v>
      </c>
      <c r="G1" s="14" t="s">
        <v>2</v>
      </c>
      <c r="H1" s="14" t="s">
        <v>3</v>
      </c>
      <c r="I1" s="14" t="s">
        <v>4</v>
      </c>
      <c r="J1" s="14" t="s">
        <v>5</v>
      </c>
      <c r="K1" s="14" t="s">
        <v>7</v>
      </c>
      <c r="L1" s="15" t="s">
        <v>6</v>
      </c>
    </row>
    <row r="2" spans="1:12" ht="15" customHeight="1" x14ac:dyDescent="0.25">
      <c r="A2" s="11" t="str">
        <f>"ZPS-" &amp; RIGHT(TRIM(MID(K2, FIND("/",K2)+1, 10)),2) &amp; "-" &amp; TEXT(LEFT(K2, FIND("/",K2)-1), "0000")</f>
        <v>ZPS-23-0188</v>
      </c>
      <c r="B2" s="2">
        <v>1</v>
      </c>
      <c r="C2" s="2" t="s">
        <v>138</v>
      </c>
      <c r="D2" s="2" t="s">
        <v>139</v>
      </c>
      <c r="E2" s="2" t="s">
        <v>140</v>
      </c>
      <c r="F2" s="2" t="s">
        <v>69</v>
      </c>
      <c r="G2" s="2" t="s">
        <v>70</v>
      </c>
      <c r="I2" s="2" t="s">
        <v>71</v>
      </c>
      <c r="K2" s="2" t="s">
        <v>72</v>
      </c>
      <c r="L2" s="12"/>
    </row>
    <row r="3" spans="1:12" ht="15" customHeight="1" x14ac:dyDescent="0.25">
      <c r="A3" s="11" t="str">
        <f>"ZPS-" &amp; RIGHT(TRIM(MID(K3, FIND("/",K3)+1, 10)),2) &amp; "-" &amp; TEXT(LEFT(K3, FIND("/",K3)-1), "0000")</f>
        <v>ZPS-22-0267</v>
      </c>
      <c r="B3" s="2">
        <v>2</v>
      </c>
      <c r="C3" s="2" t="s">
        <v>141</v>
      </c>
      <c r="D3" s="2" t="s">
        <v>142</v>
      </c>
      <c r="E3" s="2" t="s">
        <v>143</v>
      </c>
      <c r="F3" s="2" t="s">
        <v>69</v>
      </c>
      <c r="G3" s="2" t="s">
        <v>73</v>
      </c>
      <c r="I3" s="2" t="s">
        <v>74</v>
      </c>
      <c r="K3" s="2" t="s">
        <v>75</v>
      </c>
      <c r="L3" s="12"/>
    </row>
    <row r="4" spans="1:12" ht="15" customHeight="1" x14ac:dyDescent="0.25">
      <c r="A4" s="11" t="str">
        <f>"ZPS-" &amp; RIGHT(TRIM(MID(K4, FIND("/",K4)+1, 10)),2) &amp; "-" &amp; TEXT(LEFT(K4, FIND("/",K4)-1), "0000")</f>
        <v>ZPS-23-0311</v>
      </c>
      <c r="B4" s="2">
        <v>3</v>
      </c>
      <c r="C4" s="2" t="s">
        <v>144</v>
      </c>
      <c r="D4" s="2" t="s">
        <v>145</v>
      </c>
      <c r="E4" s="2" t="s">
        <v>146</v>
      </c>
      <c r="F4" s="2" t="s">
        <v>69</v>
      </c>
      <c r="G4" s="2" t="s">
        <v>76</v>
      </c>
      <c r="I4" s="2">
        <v>9608706214</v>
      </c>
      <c r="K4" s="2" t="s">
        <v>77</v>
      </c>
      <c r="L4" s="12"/>
    </row>
    <row r="5" spans="1:12" ht="15" customHeight="1" x14ac:dyDescent="0.25">
      <c r="A5" s="11" t="str">
        <f>"ZPS-" &amp; RIGHT(TRIM(MID(K5, FIND("/",K5)+1, 10)),2) &amp; "-" &amp; TEXT(LEFT(K5, FIND("/",K5)-1), "0000")</f>
        <v>ZPS-22-0231</v>
      </c>
      <c r="B5" s="2">
        <v>4</v>
      </c>
      <c r="C5" s="2" t="s">
        <v>147</v>
      </c>
      <c r="D5" s="2" t="s">
        <v>148</v>
      </c>
      <c r="E5" s="2" t="s">
        <v>149</v>
      </c>
      <c r="F5" s="2" t="s">
        <v>69</v>
      </c>
      <c r="I5" s="2">
        <v>9334895611</v>
      </c>
      <c r="K5" s="2" t="s">
        <v>78</v>
      </c>
      <c r="L5" s="12"/>
    </row>
    <row r="6" spans="1:12" ht="15" customHeight="1" x14ac:dyDescent="0.25">
      <c r="A6" s="11" t="e">
        <f>"ZPS-" &amp; RIGHT(TRIM(MID(K6, FIND("/",K6)+1, 10)),2) &amp; "-" &amp; TEXT(LEFT(K6, FIND("/",K6)-1), "0000")</f>
        <v>#VALUE!</v>
      </c>
      <c r="B6" s="2">
        <v>5</v>
      </c>
      <c r="C6" s="2" t="s">
        <v>150</v>
      </c>
      <c r="D6" s="2" t="s">
        <v>151</v>
      </c>
      <c r="E6" s="2" t="s">
        <v>152</v>
      </c>
      <c r="F6" s="2" t="s">
        <v>69</v>
      </c>
      <c r="G6" s="2" t="s">
        <v>79</v>
      </c>
      <c r="I6" s="2" t="s">
        <v>80</v>
      </c>
      <c r="L6" s="12"/>
    </row>
    <row r="7" spans="1:12" ht="15" customHeight="1" x14ac:dyDescent="0.25">
      <c r="A7" s="11" t="str">
        <f>"ZPS-" &amp; RIGHT(TRIM(MID(K7, FIND("/",K7)+1, 10)),2) &amp; "-" &amp; TEXT(LEFT(K7, FIND("/",K7)-1), "0000")</f>
        <v>ZPS-23-0149</v>
      </c>
      <c r="B7" s="2">
        <v>6</v>
      </c>
      <c r="C7" s="2" t="s">
        <v>153</v>
      </c>
      <c r="D7" s="2" t="s">
        <v>154</v>
      </c>
      <c r="E7" s="2" t="s">
        <v>155</v>
      </c>
      <c r="F7" s="2" t="s">
        <v>69</v>
      </c>
      <c r="G7" s="2" t="s">
        <v>81</v>
      </c>
      <c r="I7" s="2" t="s">
        <v>82</v>
      </c>
      <c r="K7" s="2" t="s">
        <v>83</v>
      </c>
      <c r="L7" s="12"/>
    </row>
    <row r="8" spans="1:12" ht="15" customHeight="1" x14ac:dyDescent="0.25">
      <c r="A8" s="11" t="str">
        <f>"ZPS-" &amp; RIGHT(TRIM(MID(K8, FIND("/",K8)+1, 10)),2) &amp; "-" &amp; TEXT(LEFT(K8, FIND("/",K8)-1), "0000")</f>
        <v>ZPS-23-0155</v>
      </c>
      <c r="B8" s="2">
        <v>7</v>
      </c>
      <c r="C8" s="2" t="s">
        <v>156</v>
      </c>
      <c r="D8" s="2" t="s">
        <v>157</v>
      </c>
      <c r="E8" s="2" t="s">
        <v>158</v>
      </c>
      <c r="F8" s="2" t="s">
        <v>69</v>
      </c>
      <c r="G8" s="2" t="s">
        <v>84</v>
      </c>
      <c r="H8" s="2" t="s">
        <v>85</v>
      </c>
      <c r="I8" s="2" t="s">
        <v>86</v>
      </c>
      <c r="K8" s="2" t="s">
        <v>87</v>
      </c>
      <c r="L8" s="12"/>
    </row>
    <row r="9" spans="1:12" ht="15" customHeight="1" x14ac:dyDescent="0.25">
      <c r="A9" s="11" t="str">
        <f>"ZPS-" &amp; RIGHT(TRIM(MID(K9, FIND("/",K9)+1, 10)),2) &amp; "-" &amp; TEXT(LEFT(K9, FIND("/",K9)-1), "0000")</f>
        <v>ZPS-22-0163</v>
      </c>
      <c r="B9" s="2">
        <v>8</v>
      </c>
      <c r="C9" s="2" t="s">
        <v>159</v>
      </c>
      <c r="D9" s="2" t="s">
        <v>160</v>
      </c>
      <c r="E9" s="2" t="s">
        <v>161</v>
      </c>
      <c r="F9" s="2" t="s">
        <v>69</v>
      </c>
      <c r="G9" s="2" t="s">
        <v>88</v>
      </c>
      <c r="I9" s="2">
        <v>9576320645</v>
      </c>
      <c r="K9" s="2" t="s">
        <v>89</v>
      </c>
      <c r="L9" s="12"/>
    </row>
    <row r="10" spans="1:12" ht="15" customHeight="1" x14ac:dyDescent="0.25">
      <c r="A10" s="11" t="str">
        <f>"ZPS-" &amp; RIGHT(TRIM(MID(K10, FIND("/",K10)+1, 10)),2) &amp; "-" &amp; TEXT(LEFT(K10, FIND("/",K10)-1), "0000")</f>
        <v>ZPS-22-0152</v>
      </c>
      <c r="B10" s="2">
        <v>9</v>
      </c>
      <c r="C10" s="2" t="s">
        <v>162</v>
      </c>
      <c r="D10" s="2" t="s">
        <v>163</v>
      </c>
      <c r="E10" s="2" t="s">
        <v>164</v>
      </c>
      <c r="F10" s="2" t="s">
        <v>69</v>
      </c>
      <c r="G10" s="2" t="s">
        <v>90</v>
      </c>
      <c r="I10" s="2" t="s">
        <v>91</v>
      </c>
      <c r="K10" s="2" t="s">
        <v>92</v>
      </c>
      <c r="L10" s="12"/>
    </row>
    <row r="11" spans="1:12" ht="15" customHeight="1" x14ac:dyDescent="0.25">
      <c r="A11" s="11" t="e">
        <f>"ZPS-" &amp; RIGHT(TRIM(MID(K11, FIND("/",K11)+1, 10)),2) &amp; "-" &amp; TEXT(LEFT(K11, FIND("/",K11)-1), "0000")</f>
        <v>#VALUE!</v>
      </c>
      <c r="B11" s="2">
        <v>10</v>
      </c>
      <c r="C11" s="2" t="s">
        <v>165</v>
      </c>
      <c r="D11" s="2" t="s">
        <v>166</v>
      </c>
      <c r="E11" s="2" t="s">
        <v>167</v>
      </c>
      <c r="F11" s="2" t="s">
        <v>69</v>
      </c>
      <c r="G11" s="2" t="s">
        <v>93</v>
      </c>
      <c r="I11" s="2">
        <v>7087254010</v>
      </c>
      <c r="L11" s="12"/>
    </row>
    <row r="12" spans="1:12" ht="15" customHeight="1" x14ac:dyDescent="0.25">
      <c r="A12" s="11" t="str">
        <f>"ZPS-" &amp; RIGHT(TRIM(MID(K12, FIND("/",K12)+1, 10)),2) &amp; "-" &amp; TEXT(LEFT(K12, FIND("/",K12)-1), "0000")</f>
        <v>ZPS-23-0085</v>
      </c>
      <c r="B12" s="2">
        <v>11</v>
      </c>
      <c r="C12" s="2" t="s">
        <v>168</v>
      </c>
      <c r="D12" s="2" t="s">
        <v>169</v>
      </c>
      <c r="E12" s="2" t="s">
        <v>170</v>
      </c>
      <c r="F12" s="2" t="s">
        <v>69</v>
      </c>
      <c r="G12" s="2" t="s">
        <v>94</v>
      </c>
      <c r="I12" s="2">
        <v>7488237733</v>
      </c>
      <c r="K12" s="2" t="s">
        <v>95</v>
      </c>
      <c r="L12" s="12"/>
    </row>
    <row r="13" spans="1:12" ht="15" customHeight="1" x14ac:dyDescent="0.25">
      <c r="A13" s="11" t="str">
        <f>"ZPS-" &amp; RIGHT(TRIM(MID(K13, FIND("/",K13)+1, 10)),2) &amp; "-" &amp; TEXT(LEFT(K13, FIND("/",K13)-1), "0000")</f>
        <v>ZPS-22-0161</v>
      </c>
      <c r="B13" s="2">
        <v>12</v>
      </c>
      <c r="C13" s="2" t="s">
        <v>171</v>
      </c>
      <c r="D13" s="2" t="s">
        <v>172</v>
      </c>
      <c r="E13" s="2" t="s">
        <v>173</v>
      </c>
      <c r="F13" s="2" t="s">
        <v>69</v>
      </c>
      <c r="H13" s="2" t="s">
        <v>96</v>
      </c>
      <c r="I13" s="2" t="s">
        <v>97</v>
      </c>
      <c r="K13" s="2" t="s">
        <v>98</v>
      </c>
      <c r="L13" s="12"/>
    </row>
    <row r="14" spans="1:12" ht="15" customHeight="1" x14ac:dyDescent="0.25">
      <c r="A14" s="11" t="e">
        <f>"ZPS-" &amp; RIGHT(TRIM(MID(K14, FIND("/",K14)+1, 10)),2) &amp; "-" &amp; TEXT(LEFT(K14, FIND("/",K14)-1), "0000")</f>
        <v>#VALUE!</v>
      </c>
      <c r="B14" s="2">
        <v>13</v>
      </c>
      <c r="C14" s="2" t="s">
        <v>174</v>
      </c>
      <c r="D14" s="2" t="s">
        <v>175</v>
      </c>
      <c r="E14" s="2" t="s">
        <v>176</v>
      </c>
      <c r="F14" s="2" t="s">
        <v>69</v>
      </c>
      <c r="G14" s="2" t="s">
        <v>99</v>
      </c>
      <c r="H14" s="2" t="s">
        <v>100</v>
      </c>
      <c r="I14" s="2" t="s">
        <v>101</v>
      </c>
      <c r="L14" s="12"/>
    </row>
    <row r="15" spans="1:12" ht="15" customHeight="1" x14ac:dyDescent="0.25">
      <c r="A15" s="11" t="str">
        <f>"ZPS-" &amp; RIGHT(TRIM(MID(K15, FIND("/",K15)+1, 10)),2) &amp; "-" &amp; TEXT(LEFT(K15, FIND("/",K15)-1), "0000")</f>
        <v>ZPS-23-0222</v>
      </c>
      <c r="B15" s="2">
        <v>14</v>
      </c>
      <c r="C15" s="2" t="s">
        <v>177</v>
      </c>
      <c r="D15" s="2" t="s">
        <v>178</v>
      </c>
      <c r="E15" s="2" t="s">
        <v>179</v>
      </c>
      <c r="F15" s="2" t="s">
        <v>69</v>
      </c>
      <c r="G15" s="2" t="s">
        <v>102</v>
      </c>
      <c r="I15" s="2">
        <v>7488996337</v>
      </c>
      <c r="K15" s="2" t="s">
        <v>103</v>
      </c>
      <c r="L15" s="12"/>
    </row>
    <row r="16" spans="1:12" ht="15" customHeight="1" x14ac:dyDescent="0.25">
      <c r="A16" s="11" t="str">
        <f>"ZPS-" &amp; RIGHT(TRIM(MID(K16, FIND("/",K16)+1, 10)),2) &amp; "-" &amp; TEXT(LEFT(K16, FIND("/",K16)-1), "0000")</f>
        <v>ZPS-23-0065</v>
      </c>
      <c r="B16" s="2">
        <v>15</v>
      </c>
      <c r="C16" s="2" t="s">
        <v>180</v>
      </c>
      <c r="D16" s="2" t="s">
        <v>181</v>
      </c>
      <c r="E16" s="2" t="s">
        <v>182</v>
      </c>
      <c r="F16" s="2" t="s">
        <v>69</v>
      </c>
      <c r="G16" s="2" t="s">
        <v>104</v>
      </c>
      <c r="H16" s="2" t="s">
        <v>105</v>
      </c>
      <c r="I16" s="2">
        <v>8210268880</v>
      </c>
      <c r="K16" s="2" t="s">
        <v>106</v>
      </c>
      <c r="L16" s="12"/>
    </row>
    <row r="17" spans="1:12" ht="15" customHeight="1" x14ac:dyDescent="0.25">
      <c r="A17" s="11" t="str">
        <f>"ZPS-" &amp; RIGHT(TRIM(MID(K17, FIND("/",K17)+1, 10)),2) &amp; "-" &amp; TEXT(LEFT(K17, FIND("/",K17)-1), "0000")</f>
        <v>ZPS-24-0007</v>
      </c>
      <c r="B17" s="2">
        <v>16</v>
      </c>
      <c r="C17" s="2" t="s">
        <v>183</v>
      </c>
      <c r="D17" s="2" t="s">
        <v>184</v>
      </c>
      <c r="E17" s="2" t="s">
        <v>185</v>
      </c>
      <c r="F17" s="2" t="s">
        <v>69</v>
      </c>
      <c r="G17" s="2" t="s">
        <v>107</v>
      </c>
      <c r="I17" s="2">
        <v>6203609771</v>
      </c>
      <c r="K17" s="2" t="s">
        <v>108</v>
      </c>
      <c r="L17" s="12"/>
    </row>
    <row r="18" spans="1:12" ht="15" customHeight="1" x14ac:dyDescent="0.25">
      <c r="A18" s="11" t="str">
        <f>"ZPS-" &amp; RIGHT(TRIM(MID(K18, FIND("/",K18)+1, 10)),2) &amp; "-" &amp; TEXT(LEFT(K18, FIND("/",K18)-1), "0000")</f>
        <v>ZPS-24-0009</v>
      </c>
      <c r="B18" s="2">
        <v>17</v>
      </c>
      <c r="C18" s="2" t="s">
        <v>186</v>
      </c>
      <c r="D18" s="2" t="s">
        <v>187</v>
      </c>
      <c r="E18" s="2" t="s">
        <v>188</v>
      </c>
      <c r="F18" s="2" t="s">
        <v>69</v>
      </c>
      <c r="H18" s="2" t="s">
        <v>109</v>
      </c>
      <c r="I18" s="2" t="s">
        <v>110</v>
      </c>
      <c r="K18" s="2" t="s">
        <v>111</v>
      </c>
      <c r="L18" s="12"/>
    </row>
    <row r="19" spans="1:12" ht="15" customHeight="1" x14ac:dyDescent="0.25">
      <c r="A19" s="11" t="str">
        <f>"ZPS-" &amp; RIGHT(TRIM(MID(K19, FIND("/",K19)+1, 10)),2) &amp; "-" &amp; TEXT(LEFT(K19, FIND("/",K19)-1), "0000")</f>
        <v>ZPS-24-0074</v>
      </c>
      <c r="B19" s="2">
        <v>18</v>
      </c>
      <c r="C19" s="2" t="s">
        <v>189</v>
      </c>
      <c r="D19" s="2" t="s">
        <v>190</v>
      </c>
      <c r="E19" s="2" t="s">
        <v>191</v>
      </c>
      <c r="F19" s="2" t="s">
        <v>69</v>
      </c>
      <c r="I19" s="2">
        <v>7033658501</v>
      </c>
      <c r="K19" s="2" t="s">
        <v>112</v>
      </c>
      <c r="L19" s="12"/>
    </row>
    <row r="20" spans="1:12" ht="15" customHeight="1" x14ac:dyDescent="0.25">
      <c r="A20" s="11" t="e">
        <f>"ZPS-" &amp; RIGHT(TRIM(MID(K20, FIND("/",K20)+1, 10)),2) &amp; "-" &amp; TEXT(LEFT(K20, FIND("/",K20)-1), "0000")</f>
        <v>#VALUE!</v>
      </c>
      <c r="B20" s="2">
        <v>19</v>
      </c>
      <c r="C20" s="2" t="s">
        <v>192</v>
      </c>
      <c r="D20" s="2" t="s">
        <v>193</v>
      </c>
      <c r="E20" s="2" t="s">
        <v>194</v>
      </c>
      <c r="F20" s="2" t="s">
        <v>69</v>
      </c>
      <c r="H20" s="2" t="s">
        <v>113</v>
      </c>
      <c r="I20" s="2">
        <v>9262813054</v>
      </c>
      <c r="L20" s="12"/>
    </row>
    <row r="21" spans="1:12" ht="15" customHeight="1" x14ac:dyDescent="0.25">
      <c r="A21" s="11" t="str">
        <f>"ZPS-" &amp; RIGHT(TRIM(MID(K21, FIND("/",K21)+1, 10)),2) &amp; "-" &amp; TEXT(LEFT(K21, FIND("/",K21)-1), "0000")</f>
        <v>ZPS-24-0222</v>
      </c>
      <c r="B21" s="2">
        <v>20</v>
      </c>
      <c r="C21" s="2" t="s">
        <v>195</v>
      </c>
      <c r="D21" s="2" t="s">
        <v>142</v>
      </c>
      <c r="E21" s="2" t="s">
        <v>196</v>
      </c>
      <c r="F21" s="2" t="s">
        <v>69</v>
      </c>
      <c r="H21" s="2" t="s">
        <v>114</v>
      </c>
      <c r="I21" s="2">
        <v>9229565492</v>
      </c>
      <c r="K21" s="2" t="s">
        <v>115</v>
      </c>
      <c r="L21" s="12"/>
    </row>
    <row r="22" spans="1:12" ht="15" customHeight="1" x14ac:dyDescent="0.25">
      <c r="A22" s="11" t="str">
        <f>"ZPS-" &amp; RIGHT(TRIM(MID(K22, FIND("/",K22)+1, 10)),2) &amp; "-" &amp; TEXT(LEFT(K22, FIND("/",K22)-1), "0000")</f>
        <v>ZPS-24-0003</v>
      </c>
      <c r="B22" s="2">
        <v>21</v>
      </c>
      <c r="C22" s="2" t="s">
        <v>197</v>
      </c>
      <c r="D22" s="2" t="s">
        <v>198</v>
      </c>
      <c r="E22" s="2" t="s">
        <v>199</v>
      </c>
      <c r="F22" s="2" t="s">
        <v>69</v>
      </c>
      <c r="H22" s="2" t="s">
        <v>116</v>
      </c>
      <c r="I22" s="2">
        <v>9334370308</v>
      </c>
      <c r="K22" s="2" t="s">
        <v>117</v>
      </c>
      <c r="L22" s="12"/>
    </row>
    <row r="23" spans="1:12" ht="15" customHeight="1" x14ac:dyDescent="0.25">
      <c r="A23" s="11" t="str">
        <f>"ZPS-" &amp; RIGHT(TRIM(MID(K23, FIND("/",K23)+1, 10)),2) &amp; "-" &amp; TEXT(LEFT(K23, FIND("/",K23)-1), "0000")</f>
        <v>ZPS-25-0006</v>
      </c>
      <c r="B23" s="2">
        <v>22</v>
      </c>
      <c r="C23" s="2" t="s">
        <v>200</v>
      </c>
      <c r="D23" s="2" t="s">
        <v>201</v>
      </c>
      <c r="E23" s="2" t="s">
        <v>202</v>
      </c>
      <c r="F23" s="2" t="s">
        <v>69</v>
      </c>
      <c r="G23" s="2" t="s">
        <v>118</v>
      </c>
      <c r="H23" s="2" t="s">
        <v>119</v>
      </c>
      <c r="I23" s="2" t="s">
        <v>120</v>
      </c>
      <c r="K23" s="2" t="s">
        <v>121</v>
      </c>
      <c r="L23" s="12"/>
    </row>
    <row r="24" spans="1:12" ht="15" customHeight="1" x14ac:dyDescent="0.25">
      <c r="A24" s="11" t="str">
        <f>"ZPS-" &amp; RIGHT(TRIM(MID(K24, FIND("/",K24)+1, 10)),2) &amp; "-" &amp; TEXT(LEFT(K24, FIND("/",K24)-1), "0000")</f>
        <v>ZPS-25-0019</v>
      </c>
      <c r="B24" s="2">
        <v>23</v>
      </c>
      <c r="C24" s="2" t="s">
        <v>203</v>
      </c>
      <c r="D24" s="2" t="s">
        <v>204</v>
      </c>
      <c r="E24" s="2" t="s">
        <v>205</v>
      </c>
      <c r="F24" s="2" t="s">
        <v>69</v>
      </c>
      <c r="G24" s="2" t="s">
        <v>122</v>
      </c>
      <c r="I24" s="2">
        <v>8340111925</v>
      </c>
      <c r="K24" s="2" t="s">
        <v>123</v>
      </c>
      <c r="L24" s="12"/>
    </row>
    <row r="25" spans="1:12" ht="15" customHeight="1" x14ac:dyDescent="0.25">
      <c r="A25" s="11" t="str">
        <f>"ZPS-" &amp; RIGHT(TRIM(MID(K25, FIND("/",K25)+1, 10)),2) &amp; "-" &amp; TEXT(LEFT(K25, FIND("/",K25)-1), "0000")</f>
        <v>ZPS-25-0105</v>
      </c>
      <c r="B25" s="2">
        <v>24</v>
      </c>
      <c r="C25" s="2" t="s">
        <v>206</v>
      </c>
      <c r="D25" s="2" t="s">
        <v>207</v>
      </c>
      <c r="E25" s="2" t="s">
        <v>208</v>
      </c>
      <c r="F25" s="2" t="s">
        <v>69</v>
      </c>
      <c r="G25" s="2" t="s">
        <v>124</v>
      </c>
      <c r="H25" s="2" t="s">
        <v>125</v>
      </c>
      <c r="I25" s="2">
        <v>9060705813</v>
      </c>
      <c r="K25" s="2" t="s">
        <v>126</v>
      </c>
      <c r="L25" s="12"/>
    </row>
    <row r="26" spans="1:12" ht="15" customHeight="1" x14ac:dyDescent="0.25">
      <c r="A26" s="11" t="str">
        <f>"ZPS-" &amp; RIGHT(TRIM(MID(K26, FIND("/",K26)+1, 10)),2) &amp; "-" &amp; TEXT(LEFT(K26, FIND("/",K26)-1), "0000")</f>
        <v>ZPS-25-0121</v>
      </c>
      <c r="B26" s="2">
        <v>25</v>
      </c>
      <c r="C26" s="2" t="s">
        <v>209</v>
      </c>
      <c r="D26" s="2" t="s">
        <v>210</v>
      </c>
      <c r="E26" s="2" t="s">
        <v>152</v>
      </c>
      <c r="F26" s="2" t="s">
        <v>69</v>
      </c>
      <c r="G26" s="2" t="s">
        <v>127</v>
      </c>
      <c r="H26" s="2" t="s">
        <v>128</v>
      </c>
      <c r="I26" s="2">
        <v>8804092600</v>
      </c>
      <c r="K26" s="2" t="s">
        <v>129</v>
      </c>
      <c r="L26" s="12"/>
    </row>
    <row r="27" spans="1:12" ht="15" customHeight="1" x14ac:dyDescent="0.25">
      <c r="A27" s="11" t="str">
        <f>"ZPS-" &amp; RIGHT(TRIM(MID(K27, FIND("/",K27)+1, 10)),2) &amp; "-" &amp; TEXT(LEFT(K27, FIND("/",K27)-1), "0000")</f>
        <v>ZPS-23-0054</v>
      </c>
      <c r="B27" s="2">
        <v>26</v>
      </c>
      <c r="C27" s="2" t="s">
        <v>211</v>
      </c>
      <c r="D27" s="2" t="s">
        <v>212</v>
      </c>
      <c r="E27" s="2" t="s">
        <v>213</v>
      </c>
      <c r="F27" s="2" t="s">
        <v>69</v>
      </c>
      <c r="G27" s="2" t="s">
        <v>130</v>
      </c>
      <c r="I27" s="2">
        <v>9006331924</v>
      </c>
      <c r="K27" s="2" t="s">
        <v>131</v>
      </c>
      <c r="L27" s="12"/>
    </row>
    <row r="28" spans="1:12" ht="15" customHeight="1" x14ac:dyDescent="0.25">
      <c r="A28" s="16" t="str">
        <f>"ZPS-" &amp; RIGHT(TRIM(MID(K28, FIND("/",K28)+1, 10)),2) &amp; "-" &amp; TEXT(LEFT(K28, FIND("/",K28)-1), "0000")</f>
        <v>ZPS-25-0220</v>
      </c>
      <c r="B28" s="17">
        <v>27</v>
      </c>
      <c r="C28" s="17" t="s">
        <v>214</v>
      </c>
      <c r="D28" s="17" t="s">
        <v>215</v>
      </c>
      <c r="E28" s="17" t="s">
        <v>216</v>
      </c>
      <c r="F28" s="17" t="s">
        <v>69</v>
      </c>
      <c r="G28" s="17" t="s">
        <v>132</v>
      </c>
      <c r="H28" s="17"/>
      <c r="I28" s="17">
        <v>6205326082</v>
      </c>
      <c r="J28" s="17"/>
      <c r="K28" s="17" t="s">
        <v>133</v>
      </c>
      <c r="L28" s="18"/>
    </row>
  </sheetData>
  <pageMargins left="0.7" right="0.7" top="0.75" bottom="0.75" header="0.3" footer="0.3"/>
  <pageSetup scale="8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8530-9AC0-437F-91D4-72A0838671CD}">
  <sheetPr>
    <pageSetUpPr fitToPage="1"/>
  </sheetPr>
  <dimension ref="A2:L33"/>
  <sheetViews>
    <sheetView tabSelected="1" zoomScale="85" zoomScaleNormal="85" workbookViewId="0">
      <selection activeCell="O30" sqref="O30"/>
    </sheetView>
  </sheetViews>
  <sheetFormatPr defaultRowHeight="15" x14ac:dyDescent="0.25"/>
  <cols>
    <col min="1" max="1" width="5.85546875" customWidth="1"/>
    <col min="2" max="2" width="24.140625" customWidth="1"/>
    <col min="3" max="3" width="12.42578125" style="9" bestFit="1" customWidth="1"/>
    <col min="4" max="4" width="9.7109375" customWidth="1"/>
    <col min="5" max="5" width="15.5703125" style="4" bestFit="1" customWidth="1"/>
    <col min="6" max="6" width="17" customWidth="1"/>
    <col min="7" max="7" width="15.42578125" customWidth="1"/>
    <col min="8" max="8" width="12.7109375" customWidth="1"/>
    <col min="9" max="9" width="11.5703125" style="4" customWidth="1"/>
    <col min="10" max="10" width="13.28515625" customWidth="1"/>
  </cols>
  <sheetData>
    <row r="2" spans="1:12" ht="20.2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2" ht="19.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2" ht="51.75" customHeight="1" x14ac:dyDescent="0.25">
      <c r="A4" s="5" t="s">
        <v>0</v>
      </c>
      <c r="B4" s="5" t="s">
        <v>135</v>
      </c>
      <c r="C4" s="5" t="s">
        <v>136</v>
      </c>
      <c r="D4" s="5" t="s">
        <v>137</v>
      </c>
      <c r="E4" s="5" t="s">
        <v>8</v>
      </c>
      <c r="F4" s="7" t="s">
        <v>1</v>
      </c>
      <c r="G4" s="6" t="s">
        <v>2</v>
      </c>
      <c r="H4" s="6" t="s">
        <v>3</v>
      </c>
      <c r="I4" s="7" t="s">
        <v>4</v>
      </c>
      <c r="J4" s="5" t="s">
        <v>5</v>
      </c>
      <c r="K4" s="8" t="s">
        <v>7</v>
      </c>
      <c r="L4" s="5" t="s">
        <v>6</v>
      </c>
    </row>
    <row r="5" spans="1:12" ht="54.95" customHeight="1" x14ac:dyDescent="0.25">
      <c r="A5" s="2">
        <v>1</v>
      </c>
      <c r="B5" s="9" t="s">
        <v>217</v>
      </c>
      <c r="C5" t="s">
        <v>218</v>
      </c>
      <c r="D5" s="19" t="s">
        <v>219</v>
      </c>
      <c r="E5" s="2" t="s">
        <v>10</v>
      </c>
      <c r="F5" s="2"/>
      <c r="G5" s="3" t="s">
        <v>11</v>
      </c>
      <c r="H5" s="2"/>
      <c r="I5" s="1" t="s">
        <v>12</v>
      </c>
      <c r="J5" s="2"/>
      <c r="K5" s="3" t="s">
        <v>13</v>
      </c>
      <c r="L5" s="2"/>
    </row>
    <row r="6" spans="1:12" ht="54.95" customHeight="1" x14ac:dyDescent="0.25">
      <c r="A6" s="2">
        <v>2</v>
      </c>
      <c r="B6" s="9" t="s">
        <v>220</v>
      </c>
      <c r="C6" t="s">
        <v>221</v>
      </c>
      <c r="D6" s="19" t="s">
        <v>222</v>
      </c>
      <c r="E6" s="2" t="s">
        <v>10</v>
      </c>
      <c r="F6" s="2"/>
      <c r="G6" s="3" t="s">
        <v>14</v>
      </c>
      <c r="H6" s="2" t="s">
        <v>15</v>
      </c>
      <c r="I6" s="1" t="s">
        <v>16</v>
      </c>
      <c r="J6" s="2"/>
      <c r="K6" s="3" t="s">
        <v>17</v>
      </c>
      <c r="L6" s="2"/>
    </row>
    <row r="7" spans="1:12" ht="54.95" customHeight="1" x14ac:dyDescent="0.25">
      <c r="A7" s="2">
        <v>3</v>
      </c>
      <c r="B7" s="9" t="s">
        <v>223</v>
      </c>
      <c r="C7" t="s">
        <v>224</v>
      </c>
      <c r="D7" s="19" t="s">
        <v>225</v>
      </c>
      <c r="E7" s="2" t="s">
        <v>10</v>
      </c>
      <c r="F7" s="2"/>
      <c r="G7" s="3" t="s">
        <v>18</v>
      </c>
      <c r="H7" s="2"/>
      <c r="I7" s="2">
        <v>6204819656</v>
      </c>
      <c r="J7" s="2"/>
      <c r="K7" s="3" t="s">
        <v>19</v>
      </c>
      <c r="L7" s="2"/>
    </row>
    <row r="8" spans="1:12" ht="54.95" customHeight="1" x14ac:dyDescent="0.25">
      <c r="A8" s="2">
        <v>4</v>
      </c>
      <c r="B8" s="9" t="s">
        <v>226</v>
      </c>
      <c r="C8" t="s">
        <v>227</v>
      </c>
      <c r="D8" s="19" t="s">
        <v>228</v>
      </c>
      <c r="E8" s="2" t="s">
        <v>10</v>
      </c>
      <c r="F8" s="2"/>
      <c r="G8" s="3" t="s">
        <v>20</v>
      </c>
      <c r="H8" s="2" t="s">
        <v>21</v>
      </c>
      <c r="I8" s="2">
        <v>7320989111</v>
      </c>
      <c r="J8" s="2"/>
      <c r="K8" s="3" t="s">
        <v>22</v>
      </c>
      <c r="L8" s="2"/>
    </row>
    <row r="9" spans="1:12" ht="54.95" customHeight="1" x14ac:dyDescent="0.25">
      <c r="A9" s="2">
        <v>5</v>
      </c>
      <c r="B9" s="9" t="s">
        <v>229</v>
      </c>
      <c r="C9" t="s">
        <v>148</v>
      </c>
      <c r="D9" s="19" t="s">
        <v>149</v>
      </c>
      <c r="E9" s="2" t="s">
        <v>10</v>
      </c>
      <c r="F9" s="2"/>
      <c r="G9" s="3"/>
      <c r="H9" s="2"/>
      <c r="I9" s="2">
        <v>9334895611</v>
      </c>
      <c r="J9" s="2"/>
      <c r="K9" s="3" t="s">
        <v>23</v>
      </c>
      <c r="L9" s="2"/>
    </row>
    <row r="10" spans="1:12" ht="54.95" customHeight="1" x14ac:dyDescent="0.25">
      <c r="A10" s="2">
        <v>6</v>
      </c>
      <c r="B10" s="9" t="s">
        <v>230</v>
      </c>
      <c r="C10" t="s">
        <v>231</v>
      </c>
      <c r="D10" s="19" t="s">
        <v>232</v>
      </c>
      <c r="E10" s="2" t="s">
        <v>10</v>
      </c>
      <c r="F10" s="2"/>
      <c r="G10" s="3"/>
      <c r="H10" s="2"/>
      <c r="I10" s="2">
        <v>6299842380</v>
      </c>
      <c r="J10" s="2"/>
      <c r="K10" s="3" t="s">
        <v>24</v>
      </c>
      <c r="L10" s="2"/>
    </row>
    <row r="11" spans="1:12" ht="54.95" customHeight="1" x14ac:dyDescent="0.25">
      <c r="A11" s="2">
        <v>7</v>
      </c>
      <c r="B11" s="9" t="s">
        <v>233</v>
      </c>
      <c r="C11" t="s">
        <v>234</v>
      </c>
      <c r="D11" s="19" t="s">
        <v>235</v>
      </c>
      <c r="E11" s="2" t="s">
        <v>10</v>
      </c>
      <c r="F11" s="2"/>
      <c r="G11" s="3" t="s">
        <v>27</v>
      </c>
      <c r="H11" s="2" t="s">
        <v>25</v>
      </c>
      <c r="I11" s="2">
        <v>9973299468</v>
      </c>
      <c r="J11" s="2"/>
      <c r="K11" s="3" t="s">
        <v>26</v>
      </c>
      <c r="L11" s="2"/>
    </row>
    <row r="12" spans="1:12" ht="54.95" customHeight="1" x14ac:dyDescent="0.25">
      <c r="A12" s="2">
        <v>8</v>
      </c>
      <c r="B12" s="9" t="s">
        <v>236</v>
      </c>
      <c r="C12" t="s">
        <v>237</v>
      </c>
      <c r="D12" s="19" t="s">
        <v>238</v>
      </c>
      <c r="E12" s="2" t="s">
        <v>10</v>
      </c>
      <c r="F12" s="2"/>
      <c r="G12" s="3" t="s">
        <v>28</v>
      </c>
      <c r="H12" s="2" t="s">
        <v>29</v>
      </c>
      <c r="I12" s="2">
        <v>9835485552</v>
      </c>
      <c r="J12" s="2"/>
      <c r="K12" s="3"/>
      <c r="L12" s="2"/>
    </row>
    <row r="13" spans="1:12" ht="54.95" customHeight="1" x14ac:dyDescent="0.25">
      <c r="A13" s="2">
        <v>9</v>
      </c>
      <c r="B13" s="9" t="s">
        <v>239</v>
      </c>
      <c r="C13" t="s">
        <v>240</v>
      </c>
      <c r="D13" s="19" t="s">
        <v>241</v>
      </c>
      <c r="E13" s="2" t="s">
        <v>10</v>
      </c>
      <c r="F13" s="2"/>
      <c r="G13" s="3"/>
      <c r="H13" s="2"/>
      <c r="I13" s="2">
        <v>9576320645</v>
      </c>
      <c r="J13" s="2"/>
      <c r="K13" s="3" t="s">
        <v>30</v>
      </c>
      <c r="L13" s="2"/>
    </row>
    <row r="14" spans="1:12" ht="54.95" customHeight="1" x14ac:dyDescent="0.25">
      <c r="A14" s="2">
        <v>10</v>
      </c>
      <c r="B14" s="9" t="s">
        <v>218</v>
      </c>
      <c r="C14" t="s">
        <v>242</v>
      </c>
      <c r="D14" s="19" t="s">
        <v>243</v>
      </c>
      <c r="E14" s="2" t="s">
        <v>10</v>
      </c>
      <c r="F14" s="2"/>
      <c r="G14" s="3" t="s">
        <v>31</v>
      </c>
      <c r="H14" s="2"/>
      <c r="I14" s="1" t="s">
        <v>32</v>
      </c>
      <c r="J14" s="2"/>
      <c r="K14" s="3"/>
      <c r="L14" s="2"/>
    </row>
    <row r="15" spans="1:12" ht="54.95" customHeight="1" x14ac:dyDescent="0.25">
      <c r="A15" s="2">
        <v>11</v>
      </c>
      <c r="B15" s="9" t="s">
        <v>244</v>
      </c>
      <c r="C15" t="s">
        <v>245</v>
      </c>
      <c r="D15" s="19" t="s">
        <v>246</v>
      </c>
      <c r="E15" s="2" t="s">
        <v>10</v>
      </c>
      <c r="F15" s="2"/>
      <c r="G15" s="3"/>
      <c r="H15" s="2"/>
      <c r="I15" s="1" t="s">
        <v>33</v>
      </c>
      <c r="J15" s="2"/>
      <c r="K15" s="3" t="s">
        <v>34</v>
      </c>
      <c r="L15" s="2"/>
    </row>
    <row r="16" spans="1:12" ht="54.95" customHeight="1" x14ac:dyDescent="0.25">
      <c r="A16" s="2">
        <v>12</v>
      </c>
      <c r="B16" s="9" t="s">
        <v>247</v>
      </c>
      <c r="C16" t="s">
        <v>248</v>
      </c>
      <c r="D16" s="19" t="s">
        <v>249</v>
      </c>
      <c r="E16" s="2" t="s">
        <v>10</v>
      </c>
      <c r="F16" s="2"/>
      <c r="G16" s="3" t="s">
        <v>35</v>
      </c>
      <c r="H16" s="2"/>
      <c r="I16" s="2">
        <v>8578004036</v>
      </c>
      <c r="J16" s="2"/>
      <c r="K16" s="3" t="s">
        <v>36</v>
      </c>
      <c r="L16" s="2"/>
    </row>
    <row r="17" spans="1:12" ht="54.95" customHeight="1" x14ac:dyDescent="0.25">
      <c r="A17" s="2">
        <v>13</v>
      </c>
      <c r="B17" s="9" t="s">
        <v>250</v>
      </c>
      <c r="C17" t="s">
        <v>251</v>
      </c>
      <c r="D17" s="19" t="s">
        <v>252</v>
      </c>
      <c r="E17" s="2" t="s">
        <v>10</v>
      </c>
      <c r="F17" s="2"/>
      <c r="G17" s="3"/>
      <c r="H17" s="2"/>
      <c r="I17" s="1" t="s">
        <v>37</v>
      </c>
      <c r="J17" s="2"/>
      <c r="K17" s="3"/>
      <c r="L17" s="2"/>
    </row>
    <row r="18" spans="1:12" ht="54.95" customHeight="1" x14ac:dyDescent="0.25">
      <c r="A18" s="2">
        <v>14</v>
      </c>
      <c r="B18" s="9" t="s">
        <v>253</v>
      </c>
      <c r="C18" t="s">
        <v>254</v>
      </c>
      <c r="D18" s="19" t="s">
        <v>255</v>
      </c>
      <c r="E18" s="2" t="s">
        <v>10</v>
      </c>
      <c r="F18" s="2"/>
      <c r="G18" s="3"/>
      <c r="H18" s="2" t="s">
        <v>38</v>
      </c>
      <c r="I18" s="2">
        <v>7050901592</v>
      </c>
      <c r="J18" s="2"/>
      <c r="K18" s="3" t="s">
        <v>39</v>
      </c>
      <c r="L18" s="2"/>
    </row>
    <row r="19" spans="1:12" ht="54.95" customHeight="1" x14ac:dyDescent="0.25">
      <c r="A19" s="2">
        <v>15</v>
      </c>
      <c r="B19" s="9" t="s">
        <v>256</v>
      </c>
      <c r="C19" t="s">
        <v>257</v>
      </c>
      <c r="D19" s="19" t="s">
        <v>258</v>
      </c>
      <c r="E19" s="2" t="s">
        <v>10</v>
      </c>
      <c r="F19" s="2"/>
      <c r="G19" s="3"/>
      <c r="H19" s="2" t="s">
        <v>40</v>
      </c>
      <c r="I19" s="1" t="s">
        <v>41</v>
      </c>
      <c r="J19" s="2"/>
      <c r="K19" s="3" t="s">
        <v>42</v>
      </c>
      <c r="L19" s="2"/>
    </row>
    <row r="20" spans="1:12" ht="54.95" customHeight="1" x14ac:dyDescent="0.25">
      <c r="A20" s="2">
        <v>16</v>
      </c>
      <c r="B20" s="9" t="s">
        <v>259</v>
      </c>
      <c r="C20" t="s">
        <v>260</v>
      </c>
      <c r="D20" s="19" t="s">
        <v>261</v>
      </c>
      <c r="E20" s="2" t="s">
        <v>10</v>
      </c>
      <c r="F20" s="2"/>
      <c r="G20" s="3"/>
      <c r="H20" s="2"/>
      <c r="I20" s="2">
        <v>9279572245</v>
      </c>
      <c r="J20" s="2"/>
      <c r="K20" s="3" t="s">
        <v>9</v>
      </c>
      <c r="L20" s="2"/>
    </row>
    <row r="21" spans="1:12" ht="54.95" customHeight="1" x14ac:dyDescent="0.25">
      <c r="A21" s="2">
        <v>17</v>
      </c>
      <c r="B21" s="9" t="s">
        <v>262</v>
      </c>
      <c r="C21" t="s">
        <v>201</v>
      </c>
      <c r="D21" s="19" t="s">
        <v>202</v>
      </c>
      <c r="E21" s="2" t="s">
        <v>10</v>
      </c>
      <c r="F21" s="2"/>
      <c r="G21" s="3" t="s">
        <v>43</v>
      </c>
      <c r="H21" s="2" t="s">
        <v>44</v>
      </c>
      <c r="I21" s="2">
        <v>9304614062</v>
      </c>
      <c r="J21" s="2"/>
      <c r="K21" s="3" t="s">
        <v>45</v>
      </c>
      <c r="L21" s="2"/>
    </row>
    <row r="22" spans="1:12" ht="54.95" customHeight="1" x14ac:dyDescent="0.25">
      <c r="A22" s="2">
        <v>18</v>
      </c>
      <c r="B22" s="9" t="s">
        <v>263</v>
      </c>
      <c r="C22" t="s">
        <v>212</v>
      </c>
      <c r="D22" s="19" t="s">
        <v>264</v>
      </c>
      <c r="E22" s="2" t="s">
        <v>10</v>
      </c>
      <c r="F22" s="2"/>
      <c r="G22" s="3"/>
      <c r="H22" s="2"/>
      <c r="I22" s="1" t="s">
        <v>46</v>
      </c>
      <c r="J22" s="2"/>
      <c r="K22" s="3" t="s">
        <v>47</v>
      </c>
      <c r="L22" s="2"/>
    </row>
    <row r="23" spans="1:12" ht="54.95" customHeight="1" x14ac:dyDescent="0.25">
      <c r="A23" s="2">
        <v>19</v>
      </c>
      <c r="B23" s="9" t="s">
        <v>265</v>
      </c>
      <c r="C23" t="s">
        <v>266</v>
      </c>
      <c r="D23" s="19" t="s">
        <v>267</v>
      </c>
      <c r="E23" s="2" t="s">
        <v>10</v>
      </c>
      <c r="F23" s="2"/>
      <c r="G23" s="3" t="s">
        <v>48</v>
      </c>
      <c r="H23" s="2"/>
      <c r="I23" s="1" t="s">
        <v>49</v>
      </c>
      <c r="J23" s="2"/>
      <c r="K23" s="3" t="s">
        <v>50</v>
      </c>
      <c r="L23" s="2"/>
    </row>
    <row r="24" spans="1:12" ht="54.95" customHeight="1" x14ac:dyDescent="0.25">
      <c r="A24" s="2">
        <v>20</v>
      </c>
      <c r="B24" s="9" t="s">
        <v>268</v>
      </c>
      <c r="C24" t="s">
        <v>269</v>
      </c>
      <c r="D24" s="19" t="s">
        <v>270</v>
      </c>
      <c r="E24" s="2" t="s">
        <v>10</v>
      </c>
      <c r="F24" s="2"/>
      <c r="G24" s="3"/>
      <c r="H24" s="2"/>
      <c r="I24" s="2">
        <v>9546470970</v>
      </c>
      <c r="J24" s="2"/>
      <c r="K24" s="3" t="s">
        <v>51</v>
      </c>
      <c r="L24" s="2"/>
    </row>
    <row r="25" spans="1:12" ht="54.95" customHeight="1" x14ac:dyDescent="0.25">
      <c r="A25" s="2">
        <v>21</v>
      </c>
      <c r="B25" s="9" t="s">
        <v>271</v>
      </c>
      <c r="C25" t="s">
        <v>272</v>
      </c>
      <c r="D25" s="19" t="s">
        <v>273</v>
      </c>
      <c r="E25" s="2" t="s">
        <v>10</v>
      </c>
      <c r="F25" s="2"/>
      <c r="G25" s="3" t="s">
        <v>52</v>
      </c>
      <c r="H25" s="2" t="s">
        <v>53</v>
      </c>
      <c r="I25" s="2">
        <v>7870177603</v>
      </c>
      <c r="J25" s="2"/>
      <c r="K25" s="3" t="s">
        <v>54</v>
      </c>
      <c r="L25" s="2"/>
    </row>
    <row r="26" spans="1:12" ht="54.95" customHeight="1" x14ac:dyDescent="0.25">
      <c r="A26" s="2">
        <v>22</v>
      </c>
      <c r="B26" s="9" t="s">
        <v>274</v>
      </c>
      <c r="C26" t="s">
        <v>275</v>
      </c>
      <c r="D26" s="19" t="s">
        <v>276</v>
      </c>
      <c r="E26" s="2" t="s">
        <v>10</v>
      </c>
      <c r="F26" s="2"/>
      <c r="G26" s="3" t="s">
        <v>55</v>
      </c>
      <c r="H26" s="2"/>
      <c r="I26" s="2">
        <v>9386596710</v>
      </c>
      <c r="J26" s="2"/>
      <c r="K26" s="3"/>
      <c r="L26" s="2"/>
    </row>
    <row r="27" spans="1:12" ht="54.95" customHeight="1" x14ac:dyDescent="0.25">
      <c r="A27" s="2">
        <v>23</v>
      </c>
      <c r="B27" s="9" t="s">
        <v>277</v>
      </c>
      <c r="C27" t="s">
        <v>278</v>
      </c>
      <c r="D27" s="19" t="s">
        <v>279</v>
      </c>
      <c r="E27" s="2" t="s">
        <v>10</v>
      </c>
      <c r="F27" s="2"/>
      <c r="G27" s="3" t="s">
        <v>56</v>
      </c>
      <c r="H27" s="2" t="s">
        <v>57</v>
      </c>
      <c r="I27" s="2"/>
      <c r="J27" s="2"/>
      <c r="K27" s="3" t="s">
        <v>58</v>
      </c>
      <c r="L27" s="2"/>
    </row>
    <row r="28" spans="1:12" ht="54.95" customHeight="1" x14ac:dyDescent="0.25">
      <c r="A28" s="2">
        <v>24</v>
      </c>
      <c r="B28" s="9" t="s">
        <v>280</v>
      </c>
      <c r="C28" t="s">
        <v>281</v>
      </c>
      <c r="D28" s="19" t="s">
        <v>282</v>
      </c>
      <c r="E28" s="2" t="s">
        <v>10</v>
      </c>
      <c r="F28" s="2"/>
      <c r="G28" s="3" t="s">
        <v>59</v>
      </c>
      <c r="H28" s="2"/>
      <c r="I28" s="2">
        <v>77650112785</v>
      </c>
      <c r="J28" s="2"/>
      <c r="K28" s="3" t="s">
        <v>60</v>
      </c>
      <c r="L28" s="2"/>
    </row>
    <row r="29" spans="1:12" ht="54.95" customHeight="1" x14ac:dyDescent="0.25">
      <c r="A29" s="2">
        <v>25</v>
      </c>
      <c r="B29" s="9" t="s">
        <v>283</v>
      </c>
      <c r="C29" t="s">
        <v>284</v>
      </c>
      <c r="D29" s="19" t="s">
        <v>285</v>
      </c>
      <c r="E29" s="2" t="s">
        <v>10</v>
      </c>
      <c r="F29" s="2"/>
      <c r="G29" s="3"/>
      <c r="H29" s="2" t="s">
        <v>61</v>
      </c>
      <c r="I29" s="2">
        <v>9102986560</v>
      </c>
      <c r="J29" s="2"/>
      <c r="K29" s="3"/>
      <c r="L29" s="2"/>
    </row>
    <row r="30" spans="1:12" ht="54.95" customHeight="1" x14ac:dyDescent="0.25">
      <c r="A30" s="2">
        <v>26</v>
      </c>
      <c r="B30" s="9" t="s">
        <v>286</v>
      </c>
      <c r="C30" t="s">
        <v>287</v>
      </c>
      <c r="D30" s="19" t="s">
        <v>288</v>
      </c>
      <c r="E30" s="2" t="s">
        <v>10</v>
      </c>
      <c r="F30" s="2"/>
      <c r="G30" s="3" t="s">
        <v>62</v>
      </c>
      <c r="H30" s="2"/>
      <c r="I30" s="2">
        <v>8340143124</v>
      </c>
      <c r="J30" s="2"/>
      <c r="K30" s="3" t="s">
        <v>63</v>
      </c>
      <c r="L30" s="2"/>
    </row>
    <row r="31" spans="1:12" ht="54.95" customHeight="1" x14ac:dyDescent="0.25">
      <c r="A31" s="2">
        <v>27</v>
      </c>
      <c r="B31" s="9" t="s">
        <v>289</v>
      </c>
      <c r="C31" t="s">
        <v>290</v>
      </c>
      <c r="D31" s="19" t="s">
        <v>216</v>
      </c>
      <c r="E31" s="2" t="s">
        <v>10</v>
      </c>
      <c r="F31" s="2"/>
      <c r="G31" s="3" t="s">
        <v>64</v>
      </c>
      <c r="H31" s="2"/>
      <c r="I31" s="2">
        <v>6205326082</v>
      </c>
      <c r="J31" s="2"/>
      <c r="K31" s="3" t="s">
        <v>65</v>
      </c>
      <c r="L31" s="2"/>
    </row>
    <row r="32" spans="1:12" ht="54.95" customHeight="1" x14ac:dyDescent="0.25">
      <c r="A32" s="2">
        <v>28</v>
      </c>
      <c r="B32" s="9" t="s">
        <v>291</v>
      </c>
      <c r="C32" t="s">
        <v>292</v>
      </c>
      <c r="D32" s="19" t="s">
        <v>293</v>
      </c>
      <c r="E32" s="2" t="s">
        <v>10</v>
      </c>
      <c r="F32" s="2"/>
      <c r="G32" s="3" t="s">
        <v>66</v>
      </c>
      <c r="H32" s="2" t="s">
        <v>67</v>
      </c>
      <c r="I32" s="2">
        <v>9507861810</v>
      </c>
      <c r="J32" s="2"/>
      <c r="K32" s="3" t="s">
        <v>68</v>
      </c>
      <c r="L32" s="2"/>
    </row>
    <row r="33" spans="3:3" x14ac:dyDescent="0.25">
      <c r="C33"/>
    </row>
  </sheetData>
  <pageMargins left="0.7" right="0.7" top="0.75" bottom="0.75" header="0.3" footer="0.3"/>
  <pageSetup scale="89" fitToHeight="0" orientation="landscape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2025-10-11T04:06:39Z</cp:lastPrinted>
  <dcterms:created xsi:type="dcterms:W3CDTF">2025-10-09T07:42:14Z</dcterms:created>
  <dcterms:modified xsi:type="dcterms:W3CDTF">2025-11-16T12:34:34Z</dcterms:modified>
</cp:coreProperties>
</file>