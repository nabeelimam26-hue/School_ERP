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Student main database\Class 1 Students Data\"/>
    </mc:Choice>
  </mc:AlternateContent>
  <xr:revisionPtr revIDLastSave="0" documentId="13_ncr:1_{73AA0E6B-53C8-4742-87B0-C5EE483FE438}" xr6:coauthVersionLast="47" xr6:coauthVersionMax="47" xr10:uidLastSave="{00000000-0000-0000-0000-000000000000}"/>
  <bookViews>
    <workbookView xWindow="-120" yWindow="-120" windowWidth="29040" windowHeight="15840" activeTab="3" xr2:uid="{D8F195E3-1960-4A52-9721-728041F2BB84}"/>
  </bookViews>
  <sheets>
    <sheet name="section A" sheetId="1" r:id="rId1"/>
    <sheet name="section B" sheetId="2" r:id="rId2"/>
    <sheet name="section A (2)" sheetId="4" r:id="rId3"/>
    <sheet name="section B (2)" sheetId="5" r:id="rId4"/>
    <sheet name="Sheet1" sheetId="3" r:id="rId5"/>
  </sheets>
  <definedNames>
    <definedName name="_xlnm._FilterDatabase" localSheetId="2" hidden="1">'section A (2)'!$A$1:$A$31</definedName>
    <definedName name="_xlnm._FilterDatabase" localSheetId="4" hidden="1">Sheet1!$A$1:$Q$11</definedName>
    <definedName name="_xlnm.Print_Titles" localSheetId="0">'section A'!$1:$3</definedName>
    <definedName name="_xlnm.Print_Titles" localSheetId="2">'section A (2)'!$1:$3</definedName>
    <definedName name="_xlnm.Print_Titles" localSheetId="1">'section B'!$2:$4</definedName>
    <definedName name="_xlnm.Print_Titles" localSheetId="3">'section B (2)'!$2:$4</definedName>
  </definedNames>
  <calcPr calcId="18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" i="5" l="1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" i="5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2" i="4"/>
</calcChain>
</file>

<file path=xl/sharedStrings.xml><?xml version="1.0" encoding="utf-8"?>
<sst xmlns="http://schemas.openxmlformats.org/spreadsheetml/2006/main" count="692" uniqueCount="425">
  <si>
    <t>DR. ZAKIR HUSSAIN MIDDLE PUBLIC SCHOOL</t>
  </si>
  <si>
    <t xml:space="preserve">SL. NO. </t>
  </si>
  <si>
    <t xml:space="preserve">CANDIDATE NAME 
FATHER NAME 
MOTHER NAME </t>
  </si>
  <si>
    <t>SUBJECT</t>
  </si>
  <si>
    <t>DOB</t>
  </si>
  <si>
    <t xml:space="preserve">AADHAAR NO. </t>
  </si>
  <si>
    <t xml:space="preserve">MOBILE NO. </t>
  </si>
  <si>
    <t>ADMISSION IN CLASS</t>
  </si>
  <si>
    <t xml:space="preserve">DATE OF ADMISSION </t>
  </si>
  <si>
    <t>ADMISSION NO.</t>
  </si>
  <si>
    <t>HIMANSHU RAJ 
TINKU KUMAR 
GAYATRI DEVI</t>
  </si>
  <si>
    <t>MALE</t>
  </si>
  <si>
    <t>141/23</t>
  </si>
  <si>
    <t xml:space="preserve">ADITYA RAJ 
RINKU KUMAR 
DURGA DEVI </t>
  </si>
  <si>
    <t>962/20</t>
  </si>
  <si>
    <t>MD. DANIYAL 
MOHAMMAD ASIF 
SHAMA PERWEEN</t>
  </si>
  <si>
    <t>193/23</t>
  </si>
  <si>
    <t>06/11/2016</t>
  </si>
  <si>
    <t>06/07/2017</t>
  </si>
  <si>
    <t>7272 7596 3138</t>
  </si>
  <si>
    <t>MD. ATIF KHAN 
MOHAMMAD HAIDER 
SHABNA PERWEEN</t>
  </si>
  <si>
    <t>03/10/2018</t>
  </si>
  <si>
    <t>171/22</t>
  </si>
  <si>
    <t xml:space="preserve">MD. ARSALAN 
MD. IMTIYAZ 
SHAGUFTA FATIMA </t>
  </si>
  <si>
    <t>09/07/2017</t>
  </si>
  <si>
    <t>258/2022</t>
  </si>
  <si>
    <t>MOHSIN RAZA 
MEHTAB ANSARI 
JARINA KHATOON</t>
  </si>
  <si>
    <t>14/12/2017</t>
  </si>
  <si>
    <t>10/2022</t>
  </si>
  <si>
    <t xml:space="preserve">MD. SALMAN 
MD. NAUSHAD 
ROZY PERWEEN </t>
  </si>
  <si>
    <t xml:space="preserve">SOHAIB AKHTAR 
SADIQUE AKHTAR 
RUHI KHATOON </t>
  </si>
  <si>
    <t>13/11/2018</t>
  </si>
  <si>
    <t xml:space="preserve">REHAN AKHTAR 
FIROZ AKHTAR 
SAJDA AKHTAR </t>
  </si>
  <si>
    <t>195/2022</t>
  </si>
  <si>
    <t xml:space="preserve">ARSALAN KHAN 
MD. MUNNA 
AFSAR JAHAN </t>
  </si>
  <si>
    <t>128/23</t>
  </si>
  <si>
    <t xml:space="preserve">MD AFZAL 
MD MAKSUD QURAISHI 
NOOR SALIMA KHATOON </t>
  </si>
  <si>
    <t xml:space="preserve">SEX /  CAST </t>
  </si>
  <si>
    <t>22/12/2016</t>
  </si>
  <si>
    <t>5912 4431 0369</t>
  </si>
  <si>
    <t>14/25</t>
  </si>
  <si>
    <t>MD SABIR 
AFZAL ALAM 
RAUNAQ PERWEEN</t>
  </si>
  <si>
    <t>104/25</t>
  </si>
  <si>
    <t xml:space="preserve">MD YUSUF 
AMJAD ANSARI 
FARHAT JAHAN </t>
  </si>
  <si>
    <t>254/23</t>
  </si>
  <si>
    <t xml:space="preserve">MD NASIR 
NASHIM 
NASARIN BANO </t>
  </si>
  <si>
    <t>12/12/2018</t>
  </si>
  <si>
    <t>18/24</t>
  </si>
  <si>
    <t>AYAN HUSSAIN 
MD SHARAFAT HUSSAIN 
HUSNE ARA</t>
  </si>
  <si>
    <t>06/01/2018</t>
  </si>
  <si>
    <t>54/24</t>
  </si>
  <si>
    <t xml:space="preserve">MD ABDUL RAHMAN 
MD MUSHTAK ALAM 
CHANDNI PERWEEN </t>
  </si>
  <si>
    <t>73/24</t>
  </si>
  <si>
    <t xml:space="preserve">MD ALTAMASH 
MD FAHEEM 
SHAMA PERWEEN </t>
  </si>
  <si>
    <t>82/24</t>
  </si>
  <si>
    <t xml:space="preserve">MD ATIF 
MD PAPU 
AFSANA PERWEEN </t>
  </si>
  <si>
    <t>84/24</t>
  </si>
  <si>
    <t xml:space="preserve">YUSUF 
MD IMRAN 
ZABA PERWEEN </t>
  </si>
  <si>
    <t>12/02/2018</t>
  </si>
  <si>
    <t>133/24</t>
  </si>
  <si>
    <t>MD AHIL 
MD IMTIYAZ 
NEK PERWEEN</t>
  </si>
  <si>
    <t>144/24</t>
  </si>
  <si>
    <t xml:space="preserve">MD REYAN 
MD RAJU 
SAMSIYA QAMAR </t>
  </si>
  <si>
    <t>04/09/2017</t>
  </si>
  <si>
    <t>306/22</t>
  </si>
  <si>
    <t>MD AFAN 
MD ABDUL WAHID 
FARHAT KHATOON</t>
  </si>
  <si>
    <t>23/12/2018</t>
  </si>
  <si>
    <t>9334809335 
9546470970</t>
  </si>
  <si>
    <t>176/2022</t>
  </si>
  <si>
    <t xml:space="preserve">MD ASIF 
MD BABLU 
AFSHANA KHATOON </t>
  </si>
  <si>
    <t>137/23</t>
  </si>
  <si>
    <t xml:space="preserve">MD MODASSIR ALAM 
MD MANAWAR ALAM 
MAHJABEEN KHATOON </t>
  </si>
  <si>
    <t>77/24</t>
  </si>
  <si>
    <t xml:space="preserve">HASHIM KHAN NEZAMI 
MD WASIM KHAN 
MOBINA KHAN </t>
  </si>
  <si>
    <t>209/24</t>
  </si>
  <si>
    <t xml:space="preserve">MD MOHSIN KHAN 
MD TANWEER KHAN 
TARANNUM AFRIN </t>
  </si>
  <si>
    <t>MD ALTAMASH ALAM 
MD KHUSRUN ALAM 
HENA PERWEEN</t>
  </si>
  <si>
    <t>29/04/2015</t>
  </si>
  <si>
    <t>123/2023</t>
  </si>
  <si>
    <t>ARHAM RAZA 
MD BANTI 
SABA PERWEEN</t>
  </si>
  <si>
    <t>07/10/2018</t>
  </si>
  <si>
    <t>202/25</t>
  </si>
  <si>
    <t xml:space="preserve">MD SAYYAN SHAHID 
MOHAMMAD SHAHID 
SHAGUFTA YASAMIN </t>
  </si>
  <si>
    <t>07/02/2018</t>
  </si>
  <si>
    <t>6778 0973 0213</t>
  </si>
  <si>
    <t>209/25</t>
  </si>
  <si>
    <t xml:space="preserve">MD ALTAMASH ANWAR 
MD ANWAR 
ZEENAT NISHA </t>
  </si>
  <si>
    <t xml:space="preserve"> CLASS I   SEC - A                                                                     SULTANGANJ PATNA - 800006                                                                    2025 -2026</t>
  </si>
  <si>
    <t xml:space="preserve"> CLASS I   SEC - B                                                                     SULTANGANJ PATNA - 800006                                                                    2025 -2026</t>
  </si>
  <si>
    <t xml:space="preserve">SANIA PERWEEN 
MD RAJU 
YASMIN KHATOON </t>
  </si>
  <si>
    <t xml:space="preserve">FEMALE </t>
  </si>
  <si>
    <t>4367 9530 3593</t>
  </si>
  <si>
    <t>146/23</t>
  </si>
  <si>
    <t xml:space="preserve">ZOYA PERWEEN 
MD SHAHBAAZ 
RUKHSAR PERWEEN </t>
  </si>
  <si>
    <t>179/23</t>
  </si>
  <si>
    <t xml:space="preserve">ZIKRA PERWEEN 
MD IMTIYAZ QURAISHI 
SABA PERWEEN </t>
  </si>
  <si>
    <t>15/2022</t>
  </si>
  <si>
    <t xml:space="preserve">SUHANA PERWEEN 
MD NASEEM 
SALMA KHATOON </t>
  </si>
  <si>
    <t>07/10/2017</t>
  </si>
  <si>
    <t>81/24</t>
  </si>
  <si>
    <t xml:space="preserve">AYESHA 
MD TAHSEEN 
ZAINAB </t>
  </si>
  <si>
    <t>02/01/2016</t>
  </si>
  <si>
    <t>8804932035 
7631915905</t>
  </si>
  <si>
    <t>126/24</t>
  </si>
  <si>
    <t xml:space="preserve">NADIYA FATIMA 
MD CHUNNU 
MAHZABI KHATOON </t>
  </si>
  <si>
    <t>14/01/2024</t>
  </si>
  <si>
    <t>151/23</t>
  </si>
  <si>
    <t>AYAT PERWEEN 
MD ALI 
SHANJIMA ALAMIN</t>
  </si>
  <si>
    <t xml:space="preserve">KULSUM PERWEEN 
MD GHEYASUDDIN 
RANI PERWEEN </t>
  </si>
  <si>
    <t>18/03/2010</t>
  </si>
  <si>
    <t>13/24</t>
  </si>
  <si>
    <t xml:space="preserve">NOOR JANNAT 
MD ATAWARIS 
NIKHAT PERWEEN </t>
  </si>
  <si>
    <t>09/11/2018</t>
  </si>
  <si>
    <t>184/24</t>
  </si>
  <si>
    <t>01/25</t>
  </si>
  <si>
    <t>30/12/2019</t>
  </si>
  <si>
    <t xml:space="preserve">AMEERA AHMAD 
MD RAFI AHMAD 
GAJALA KHATOON </t>
  </si>
  <si>
    <t xml:space="preserve">ZARA FATIMA 
MD MAHBOOB ALAM 
KHURSHIDA KHATOON </t>
  </si>
  <si>
    <t>06/02/2019</t>
  </si>
  <si>
    <t>124/2023</t>
  </si>
  <si>
    <t>11/09/2016</t>
  </si>
  <si>
    <t xml:space="preserve">SAMAIRA ALAM 
MD KHUSRUN 
HENA PERWEEN </t>
  </si>
  <si>
    <t>UZMA KHANNAM 
MOHAMMAD SHAHBUDDIN 
FARHEEN KHANAM</t>
  </si>
  <si>
    <t>07/11/2020</t>
  </si>
  <si>
    <t>7563811916 
8210072572</t>
  </si>
  <si>
    <t>08/25</t>
  </si>
  <si>
    <t xml:space="preserve">SHAZADI KHATOON 
MD MAHMOOD ALI 
SHAHENA KHATOON </t>
  </si>
  <si>
    <t>9304526118 
7759085964</t>
  </si>
  <si>
    <t>39/25</t>
  </si>
  <si>
    <t xml:space="preserve">ARAVYA KHATOON 
MD SHAHNAWAZ 
GUDIYA KHATOON </t>
  </si>
  <si>
    <t>23/04/019</t>
  </si>
  <si>
    <t>4513 5096 0774</t>
  </si>
  <si>
    <t>48/25</t>
  </si>
  <si>
    <t xml:space="preserve">SHADIYA TANWEER 
MD TANWEER 
NEHA PERWEEN </t>
  </si>
  <si>
    <t>09/07/2016</t>
  </si>
  <si>
    <t xml:space="preserve">8066 8658 9426 </t>
  </si>
  <si>
    <t>53/25</t>
  </si>
  <si>
    <t xml:space="preserve">MARIYAM NAAZ 
MD NEYAZ 
ISHRAT KHATOON </t>
  </si>
  <si>
    <t>07/12/2020</t>
  </si>
  <si>
    <t>61/25</t>
  </si>
  <si>
    <t xml:space="preserve">AYESHA FATIMA 
MD IMTIYAZ 
SHAGUFTA FATIMA </t>
  </si>
  <si>
    <t>25/04/2016</t>
  </si>
  <si>
    <t>92/25</t>
  </si>
  <si>
    <t xml:space="preserve">FALAK KAMAL 
MD KAMAL ANWAR 
RIZWANA ANJUM </t>
  </si>
  <si>
    <t>18/08/2017</t>
  </si>
  <si>
    <t>140/25</t>
  </si>
  <si>
    <t xml:space="preserve">MAHIRA FIRDOUS 
MD AFJAL 
HEENA PERWEEN </t>
  </si>
  <si>
    <t>17/06/2019</t>
  </si>
  <si>
    <t>155/25</t>
  </si>
  <si>
    <t xml:space="preserve">ZOYA PERWEEN 
BACHHAKHA 
ZEBA KHATOON </t>
  </si>
  <si>
    <t>01/01/2015</t>
  </si>
  <si>
    <t>165/25</t>
  </si>
  <si>
    <t>3087 0978 7644</t>
  </si>
  <si>
    <t xml:space="preserve">ZAHIRA PERWEEN 
MD MENHAJ 
TABASSUM KHATOON  </t>
  </si>
  <si>
    <t>179/25</t>
  </si>
  <si>
    <t>ALISHBA TAJ 
MOHAMMAD MANZOOR ALAM 
SABERA KHATOON</t>
  </si>
  <si>
    <t>25/09/2019</t>
  </si>
  <si>
    <t>8152 1917 3224</t>
  </si>
  <si>
    <t>224/25</t>
  </si>
  <si>
    <t>Student_ID</t>
  </si>
  <si>
    <t>First_Name</t>
  </si>
  <si>
    <t>Last_Name</t>
  </si>
  <si>
    <t>Father_Name</t>
  </si>
  <si>
    <t>Mother_Name</t>
  </si>
  <si>
    <t>Gender</t>
  </si>
  <si>
    <t>Category</t>
  </si>
  <si>
    <t>Aadhaar_Number</t>
  </si>
  <si>
    <t>Mobile_Number</t>
  </si>
  <si>
    <t>Admission_Class</t>
  </si>
  <si>
    <t>Current_Class</t>
  </si>
  <si>
    <t>Section</t>
  </si>
  <si>
    <t>Admission_Number</t>
  </si>
  <si>
    <t>Date_of_Admission</t>
  </si>
  <si>
    <t>Address</t>
  </si>
  <si>
    <t>Remarks</t>
  </si>
  <si>
    <t>Himanshu</t>
  </si>
  <si>
    <t>Raj</t>
  </si>
  <si>
    <t>Tinku Kumar</t>
  </si>
  <si>
    <t>Gayatri Devi</t>
  </si>
  <si>
    <t>Male</t>
  </si>
  <si>
    <t>General</t>
  </si>
  <si>
    <t>7283 5512 9901</t>
  </si>
  <si>
    <t>A</t>
  </si>
  <si>
    <t>Kankarbagh, Patna</t>
  </si>
  <si>
    <t>-</t>
  </si>
  <si>
    <t>SCH-01A-0002</t>
  </si>
  <si>
    <t>Aditya</t>
  </si>
  <si>
    <t>Rinku Kumar</t>
  </si>
  <si>
    <t>Durga Devi</t>
  </si>
  <si>
    <t>OBC</t>
  </si>
  <si>
    <t>7214 8899 1122</t>
  </si>
  <si>
    <t>Rajendra Nagar, Patna</t>
  </si>
  <si>
    <t>SCH-01A-0003</t>
  </si>
  <si>
    <t>Mohammad</t>
  </si>
  <si>
    <t>Daniyal</t>
  </si>
  <si>
    <t>Mohammad Asif</t>
  </si>
  <si>
    <t>Shama Parween</t>
  </si>
  <si>
    <t>Mahendru, Patna</t>
  </si>
  <si>
    <t>Needs Aadhaar update</t>
  </si>
  <si>
    <t>SCH-01A-0004</t>
  </si>
  <si>
    <t>Aisha</t>
  </si>
  <si>
    <t>Fatima</t>
  </si>
  <si>
    <t>Saif Khan</t>
  </si>
  <si>
    <t>Rihana Khatoon</t>
  </si>
  <si>
    <t>Female</t>
  </si>
  <si>
    <t>15/03/2017</t>
  </si>
  <si>
    <t>7812 5599 2210</t>
  </si>
  <si>
    <t>201/23</t>
  </si>
  <si>
    <t>Sultanganj</t>
  </si>
  <si>
    <t>SCH-01A-0005</t>
  </si>
  <si>
    <t>Rohan</t>
  </si>
  <si>
    <t>Kumar</t>
  </si>
  <si>
    <t>Manish Kumar</t>
  </si>
  <si>
    <t>Sunita Devi</t>
  </si>
  <si>
    <t>7001 2233 8899</t>
  </si>
  <si>
    <t>205/22</t>
  </si>
  <si>
    <t>Patliputra</t>
  </si>
  <si>
    <t>SCH-01B-0001</t>
  </si>
  <si>
    <t>Zoya</t>
  </si>
  <si>
    <t>Parveen</t>
  </si>
  <si>
    <t>Akhtar Hussain</t>
  </si>
  <si>
    <t>Sameena Khatoon</t>
  </si>
  <si>
    <t>7099 2288 5566</t>
  </si>
  <si>
    <t>B</t>
  </si>
  <si>
    <t>111/23</t>
  </si>
  <si>
    <t>Digha</t>
  </si>
  <si>
    <t>Excellent in class</t>
  </si>
  <si>
    <t>SCH-01B-0002</t>
  </si>
  <si>
    <t>Arnav</t>
  </si>
  <si>
    <t>Sharma</t>
  </si>
  <si>
    <t>Rajesh Sharma</t>
  </si>
  <si>
    <t>Priya Sharma</t>
  </si>
  <si>
    <t>27/02/2017</t>
  </si>
  <si>
    <t>7888 6611 9922</t>
  </si>
  <si>
    <t>112/23</t>
  </si>
  <si>
    <t>Gandhi Maidan</t>
  </si>
  <si>
    <t>SCH-01B-0003</t>
  </si>
  <si>
    <t>Rahman</t>
  </si>
  <si>
    <t>Ali</t>
  </si>
  <si>
    <t>Nadeem Ali</t>
  </si>
  <si>
    <t>Sakina Parween</t>
  </si>
  <si>
    <t>7544 9988 1123</t>
  </si>
  <si>
    <t>115/22</t>
  </si>
  <si>
    <t>Sabzibagh</t>
  </si>
  <si>
    <t>Needs mobile update</t>
  </si>
  <si>
    <t>SCH-01B-0004</t>
  </si>
  <si>
    <t>Anushka</t>
  </si>
  <si>
    <t>Sinha</t>
  </si>
  <si>
    <t>Manish Sinha</t>
  </si>
  <si>
    <t>Rekha Sinha</t>
  </si>
  <si>
    <t>21/01/2017</t>
  </si>
  <si>
    <t>7009 8833 1100</t>
  </si>
  <si>
    <t>180/23</t>
  </si>
  <si>
    <t>Kankarbagh</t>
  </si>
  <si>
    <t>SCH-01B-0005</t>
  </si>
  <si>
    <t>Kabir</t>
  </si>
  <si>
    <t>Khan</t>
  </si>
  <si>
    <t>Irfan Khan</t>
  </si>
  <si>
    <t>Nazia Khan</t>
  </si>
  <si>
    <t>30/06/2017</t>
  </si>
  <si>
    <t>7551 2299 4477</t>
  </si>
  <si>
    <t>182/23</t>
  </si>
  <si>
    <t>Kurji</t>
  </si>
  <si>
    <t>ZPS-23-0014</t>
  </si>
  <si>
    <t>School_ID</t>
  </si>
  <si>
    <t>`</t>
  </si>
  <si>
    <t>~</t>
  </si>
  <si>
    <t>Column2</t>
  </si>
  <si>
    <t>Column12</t>
  </si>
  <si>
    <t>HIMANSHU RAJ</t>
  </si>
  <si>
    <t>TINKU KUMAR</t>
  </si>
  <si>
    <t>GAYATRI DEVI</t>
  </si>
  <si>
    <t>ADITYA RAJ</t>
  </si>
  <si>
    <t>RINKU KUMAR</t>
  </si>
  <si>
    <t>DURGA DEVI</t>
  </si>
  <si>
    <t>MD. DANIYAL</t>
  </si>
  <si>
    <t>MOHAMMAD ASIF</t>
  </si>
  <si>
    <t>SHAMA PERWEEN</t>
  </si>
  <si>
    <t>MD. ATIF KHAN</t>
  </si>
  <si>
    <t>MOHAMMAD HAIDER</t>
  </si>
  <si>
    <t>SHABNA PERWEEN</t>
  </si>
  <si>
    <t>MD. ARSALAN</t>
  </si>
  <si>
    <t>MD. IMTIYAZ</t>
  </si>
  <si>
    <t>SHAGUFTA FATIMA</t>
  </si>
  <si>
    <t>MOHSIN RAZA</t>
  </si>
  <si>
    <t>MEHTAB ANSARI</t>
  </si>
  <si>
    <t>JARINA KHATOON</t>
  </si>
  <si>
    <t>MD. SALMAN</t>
  </si>
  <si>
    <t>MD. NAUSHAD</t>
  </si>
  <si>
    <t>ROZY PERWEEN</t>
  </si>
  <si>
    <t>SOHAIB AKHTAR</t>
  </si>
  <si>
    <t>SADIQUE AKHTAR</t>
  </si>
  <si>
    <t>RUHI KHATOON</t>
  </si>
  <si>
    <t>REHAN AKHTAR</t>
  </si>
  <si>
    <t>FIROZ AKHTAR</t>
  </si>
  <si>
    <t>SAJDA AKHTAR</t>
  </si>
  <si>
    <t>ARSALAN KHAN</t>
  </si>
  <si>
    <t>MD. MUNNA</t>
  </si>
  <si>
    <t>AFSAR JAHAN</t>
  </si>
  <si>
    <t>MD AFZAL</t>
  </si>
  <si>
    <t>MD MAKSUD QURAISHI</t>
  </si>
  <si>
    <t>NOOR SALIMA KHATOON</t>
  </si>
  <si>
    <t>MD SABIR</t>
  </si>
  <si>
    <t>AFZAL ALAM</t>
  </si>
  <si>
    <t>RAUNAQ PERWEEN</t>
  </si>
  <si>
    <t>MD YUSUF</t>
  </si>
  <si>
    <t>AMJAD ANSARI</t>
  </si>
  <si>
    <t>FARHAT JAHAN</t>
  </si>
  <si>
    <t>MD NASIR</t>
  </si>
  <si>
    <t>NASHIM</t>
  </si>
  <si>
    <t>NASARIN BANO</t>
  </si>
  <si>
    <t>AYAN HUSSAIN</t>
  </si>
  <si>
    <t>MD SHARAFAT HUSSAIN</t>
  </si>
  <si>
    <t>HUSNE ARA</t>
  </si>
  <si>
    <t>MD ABDUL RAHMAN</t>
  </si>
  <si>
    <t>MD MUSHTAK ALAM</t>
  </si>
  <si>
    <t>CHANDNI PERWEEN</t>
  </si>
  <si>
    <t>MD ALTAMASH</t>
  </si>
  <si>
    <t>MD FAHEEM</t>
  </si>
  <si>
    <t>MD ATIF</t>
  </si>
  <si>
    <t>MD PAPU</t>
  </si>
  <si>
    <t>AFSANA PERWEEN</t>
  </si>
  <si>
    <t>YUSUF</t>
  </si>
  <si>
    <t>MD IMRAN</t>
  </si>
  <si>
    <t>ZABA PERWEEN</t>
  </si>
  <si>
    <t>MD AHIL</t>
  </si>
  <si>
    <t>MD IMTIYAZ</t>
  </si>
  <si>
    <t>NEK PERWEEN</t>
  </si>
  <si>
    <t>MD REYAN</t>
  </si>
  <si>
    <t>MD RAJU</t>
  </si>
  <si>
    <t>SAMSIYA QAMAR</t>
  </si>
  <si>
    <t>MD AFAN</t>
  </si>
  <si>
    <t>MD ABDUL WAHID</t>
  </si>
  <si>
    <t>FARHAT KHATOON</t>
  </si>
  <si>
    <t>MD ASIF</t>
  </si>
  <si>
    <t>MD BABLU</t>
  </si>
  <si>
    <t>AFSHANA KHATOON</t>
  </si>
  <si>
    <t>MD MODASSIR ALAM</t>
  </si>
  <si>
    <t>MD MANAWAR ALAM</t>
  </si>
  <si>
    <t>MAHJABEEN KHATOON</t>
  </si>
  <si>
    <t>HASHIM KHAN NEZAMI</t>
  </si>
  <si>
    <t>MD WASIM KHAN</t>
  </si>
  <si>
    <t>MOBINA KHAN</t>
  </si>
  <si>
    <t>MD MOHSIN KHAN</t>
  </si>
  <si>
    <t>MD TANWEER KHAN</t>
  </si>
  <si>
    <t>TARANNUM AFRIN</t>
  </si>
  <si>
    <t>MD ALTAMASH ALAM</t>
  </si>
  <si>
    <t>MD KHUSRUN ALAM</t>
  </si>
  <si>
    <t>HENA PERWEEN</t>
  </si>
  <si>
    <t>ARHAM RAZA</t>
  </si>
  <si>
    <t>MD BANTI</t>
  </si>
  <si>
    <t>SABA PERWEEN</t>
  </si>
  <si>
    <t>MD SAYYAN SHAHID</t>
  </si>
  <si>
    <t>MOHAMMAD SHAHID</t>
  </si>
  <si>
    <t>SHAGUFTA YASAMIN</t>
  </si>
  <si>
    <t>MD ALTAMASH ANWAR</t>
  </si>
  <si>
    <t>MD ANWAR</t>
  </si>
  <si>
    <t>ZEENAT NISHA</t>
  </si>
  <si>
    <t>CANDIDATE_NAME</t>
  </si>
  <si>
    <t>FATHER_NAME</t>
  </si>
  <si>
    <t>MOTHER_NAME</t>
  </si>
  <si>
    <t>REMARKS</t>
  </si>
  <si>
    <t>SANIA PERWEEN</t>
  </si>
  <si>
    <t>YASMIN KHATOON</t>
  </si>
  <si>
    <t>ZOYA PERWEEN</t>
  </si>
  <si>
    <t>MD SHAHBAAZ</t>
  </si>
  <si>
    <t>RUKHSAR PERWEEN</t>
  </si>
  <si>
    <t>ZIKRA PERWEEN</t>
  </si>
  <si>
    <t>MD IMTIYAZ QURAISHI</t>
  </si>
  <si>
    <t>AYAT PERWEEN</t>
  </si>
  <si>
    <t>MD ALI</t>
  </si>
  <si>
    <t>SHANJIMA ALAMIN</t>
  </si>
  <si>
    <t>SUHANA PERWEEN</t>
  </si>
  <si>
    <t>MD NASEEM</t>
  </si>
  <si>
    <t>SALMA KHATOON</t>
  </si>
  <si>
    <t>AYESHA</t>
  </si>
  <si>
    <t>MD TAHSEEN</t>
  </si>
  <si>
    <t>ZAINAB</t>
  </si>
  <si>
    <t>NADIYA FATIMA</t>
  </si>
  <si>
    <t>MD CHUNNU</t>
  </si>
  <si>
    <t>MAHZABI KHATOON</t>
  </si>
  <si>
    <t>KULSUM PERWEEN</t>
  </si>
  <si>
    <t>MD GHEYASUDDIN</t>
  </si>
  <si>
    <t>RANI PERWEEN</t>
  </si>
  <si>
    <t>NOOR JANNAT</t>
  </si>
  <si>
    <t>MD ATAWARIS</t>
  </si>
  <si>
    <t>NIKHAT PERWEEN</t>
  </si>
  <si>
    <t>AMEERA AHMAD</t>
  </si>
  <si>
    <t>MD RAFI AHMAD</t>
  </si>
  <si>
    <t>GAJALA KHATOON</t>
  </si>
  <si>
    <t>ZARA FATIMA</t>
  </si>
  <si>
    <t>MD MAHBOOB ALAM</t>
  </si>
  <si>
    <t>KHURSHIDA KHATOON</t>
  </si>
  <si>
    <t>SAMAIRA ALAM</t>
  </si>
  <si>
    <t>MD KHUSRUN</t>
  </si>
  <si>
    <t>UZMA KHANNAM</t>
  </si>
  <si>
    <t>MOHAMMAD SHAHBUDDIN</t>
  </si>
  <si>
    <t>FARHEEN KHANAM</t>
  </si>
  <si>
    <t>SHAZADI KHATOON</t>
  </si>
  <si>
    <t>MD MAHMOOD ALI</t>
  </si>
  <si>
    <t>SHAHENA KHATOON</t>
  </si>
  <si>
    <t>ARAVYA KHATOON</t>
  </si>
  <si>
    <t>MD SHAHNAWAZ</t>
  </si>
  <si>
    <t>GUDIYA KHATOON</t>
  </si>
  <si>
    <t>SHADIYA TANWEER</t>
  </si>
  <si>
    <t>MD TANWEER</t>
  </si>
  <si>
    <t>NEHA PERWEEN</t>
  </si>
  <si>
    <t>MARIYAM NAAZ</t>
  </si>
  <si>
    <t>MD NEYAZ</t>
  </si>
  <si>
    <t>ISHRAT KHATOON</t>
  </si>
  <si>
    <t>AYESHA FATIMA</t>
  </si>
  <si>
    <t>FALAK KAMAL</t>
  </si>
  <si>
    <t>MD KAMAL ANWAR</t>
  </si>
  <si>
    <t>RIZWANA ANJUM</t>
  </si>
  <si>
    <t>MAHIRA FIRDOUS</t>
  </si>
  <si>
    <t>MD AFJAL</t>
  </si>
  <si>
    <t>HEENA PERWEEN</t>
  </si>
  <si>
    <t>BACHHAKHA</t>
  </si>
  <si>
    <t>ZEBA KHATOON</t>
  </si>
  <si>
    <t>ZAHIRA PERWEEN</t>
  </si>
  <si>
    <t>MD MENHAJ</t>
  </si>
  <si>
    <t>TABASSUM KHATOON</t>
  </si>
  <si>
    <t>ALISHBA TAJ</t>
  </si>
  <si>
    <t>MOHAMMAD MANZOOR ALAM</t>
  </si>
  <si>
    <t>SABERA KHATOON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</si>
</sst>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6"/>
        <bgColor theme="6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0" fillId="0" borderId="0" xfId="0" applyNumberFormat="1"/>
    <xf numFmtId="0" fontId="0" fillId="0" borderId="0" xfId="0" applyAlignment="1">
      <alignment wrapText="1"/>
    </xf>
    <xf numFmtId="0" fontId="0" fillId="0" borderId="1" xfId="0" applyBorder="1"/>
    <xf numFmtId="0" fontId="1" fillId="0" borderId="0" xfId="0" applyFont="1" applyAlignment="1">
      <alignment horizontal="center" vertical="center"/>
    </xf>
    <xf numFmtId="49" fontId="0" fillId="0" borderId="1" xfId="0" applyNumberFormat="1" applyBorder="1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49" fontId="1" fillId="0" borderId="8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1" fillId="0" borderId="5" xfId="0" applyFont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49" fontId="2" fillId="0" borderId="24" xfId="0" applyNumberFormat="1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49" fontId="2" fillId="0" borderId="23" xfId="0" applyNumberFormat="1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1" fillId="0" borderId="1" xfId="0" applyNumberFormat="1" applyFont="1" applyBorder="1" applyAlignment="1">
      <alignment horizontal="center" vertical="center"/>
    </xf>
    <xf numFmtId="0" fontId="1" fillId="0" borderId="8" xfId="0" applyNumberFormat="1" applyFont="1" applyBorder="1" applyAlignment="1">
      <alignment horizontal="center" vertical="center"/>
    </xf>
    <xf numFmtId="0" fontId="1" fillId="0" borderId="5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49" fontId="0" fillId="0" borderId="0" xfId="0" applyNumberFormat="1" applyAlignment="1">
      <alignment horizontal="left"/>
    </xf>
    <xf numFmtId="0" fontId="1" fillId="0" borderId="26" xfId="0" applyFont="1" applyBorder="1" applyAlignment="1">
      <alignment horizontal="center" vertical="center"/>
    </xf>
    <xf numFmtId="49" fontId="1" fillId="0" borderId="25" xfId="0" applyNumberFormat="1" applyFont="1" applyBorder="1" applyAlignment="1">
      <alignment horizontal="center" vertical="center"/>
    </xf>
    <xf numFmtId="49" fontId="0" fillId="0" borderId="25" xfId="0" applyNumberFormat="1" applyFont="1" applyBorder="1" applyAlignment="1">
      <alignment horizontal="left"/>
    </xf>
    <xf numFmtId="0" fontId="1" fillId="0" borderId="25" xfId="0" applyFont="1" applyBorder="1" applyAlignment="1">
      <alignment horizontal="center" vertical="center"/>
    </xf>
    <xf numFmtId="49" fontId="1" fillId="0" borderId="9" xfId="0" applyNumberFormat="1" applyFont="1" applyBorder="1" applyAlignment="1">
      <alignment horizontal="center" vertical="center"/>
    </xf>
    <xf numFmtId="49" fontId="1" fillId="0" borderId="9" xfId="0" applyNumberFormat="1" applyFont="1" applyBorder="1" applyAlignment="1">
      <alignment horizontal="left" vertical="center"/>
    </xf>
    <xf numFmtId="0" fontId="1" fillId="0" borderId="27" xfId="0" applyFont="1" applyBorder="1" applyAlignment="1">
      <alignment horizontal="center" vertical="center"/>
    </xf>
    <xf numFmtId="49" fontId="1" fillId="0" borderId="28" xfId="0" applyNumberFormat="1" applyFont="1" applyBorder="1" applyAlignment="1">
      <alignment horizontal="center" vertical="center"/>
    </xf>
    <xf numFmtId="49" fontId="1" fillId="0" borderId="28" xfId="0" applyNumberFormat="1" applyFont="1" applyBorder="1" applyAlignment="1">
      <alignment horizontal="left" vertical="center"/>
    </xf>
    <xf numFmtId="0" fontId="1" fillId="0" borderId="28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49" fontId="7" fillId="0" borderId="9" xfId="0" applyNumberFormat="1" applyFont="1" applyBorder="1" applyAlignment="1">
      <alignment horizontal="center" vertical="center"/>
    </xf>
    <xf numFmtId="49" fontId="7" fillId="0" borderId="28" xfId="0" applyNumberFormat="1" applyFont="1" applyBorder="1" applyAlignment="1">
      <alignment horizontal="center" vertical="center"/>
    </xf>
    <xf numFmtId="0" fontId="5" fillId="2" borderId="29" xfId="0" applyFont="1" applyFill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/>
    </xf>
    <xf numFmtId="0" fontId="4" fillId="2" borderId="19" xfId="0" applyFont="1" applyFill="1" applyBorder="1" applyAlignment="1"/>
    <xf numFmtId="49" fontId="4" fillId="2" borderId="0" xfId="0" applyNumberFormat="1" applyFont="1" applyFill="1" applyBorder="1" applyAlignment="1"/>
    <xf numFmtId="0" fontId="5" fillId="2" borderId="0" xfId="0" applyFont="1" applyFill="1" applyBorder="1" applyAlignment="1">
      <alignment horizontal="center" vertical="center"/>
    </xf>
    <xf numFmtId="49" fontId="5" fillId="2" borderId="19" xfId="0" applyNumberFormat="1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49" fontId="5" fillId="2" borderId="0" xfId="0" applyNumberFormat="1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left"/>
    </xf>
    <xf numFmtId="49" fontId="0" fillId="0" borderId="21" xfId="0" applyNumberFormat="1" applyFont="1" applyBorder="1" applyAlignment="1">
      <alignment horizontal="left"/>
    </xf>
  </cellXfs>
  <cellStyles count="1">
    <cellStyle name="Normal" xfId="0" builtinId="0"/>
  </cellStyles>
  <dxfs count="5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0" formatCode="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rgb="FF000000"/>
        </right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6.501555787036" createdVersion="8" refreshedVersion="8" minRefreshableVersion="3" recordCount="23" xr:uid="{DFD5C46B-0FD1-4B4A-927A-4AD66DF55DC9}">
  <cacheSource type="worksheet">
    <worksheetSource name="Table2"/>
  </cacheSource>
  <cacheFields count="10">
    <cacheField name="SL. NO. " numFmtId="0">
      <sharedItems containsSemiMixedTypes="0" containsString="0" containsNumber="1" containsInteger="1" minValue="1" maxValue="23"/>
    </cacheField>
    <cacheField name="CANDIDATE NAME _x000a_FATHER NAME _x000a_MOTHER NAME " numFmtId="0">
      <sharedItems/>
    </cacheField>
    <cacheField name="SEX /  CAST " numFmtId="0">
      <sharedItems/>
    </cacheField>
    <cacheField name="SUBJECT" numFmtId="0">
      <sharedItems containsNonDate="0" containsString="0" containsBlank="1"/>
    </cacheField>
    <cacheField name="DOB" numFmtId="49">
      <sharedItems containsBlank="1"/>
    </cacheField>
    <cacheField name="AADHAAR NO. " numFmtId="0">
      <sharedItems containsBlank="1"/>
    </cacheField>
    <cacheField name="MOBILE NO. " numFmtId="0">
      <sharedItems containsMixedTypes="1" containsNumber="1" containsInteger="1" minValue="6203488975" maxValue="9835879726"/>
    </cacheField>
    <cacheField name="ADMISSION IN CLASS" numFmtId="0">
      <sharedItems containsNonDate="0" containsString="0" containsBlank="1"/>
    </cacheField>
    <cacheField name="ADMISSION NO." numFmtId="49">
      <sharedItems containsBlank="1"/>
    </cacheField>
    <cacheField name="DATE OF ADMISSION 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">
  <r>
    <n v="1"/>
    <s v="SANIA PERWEEN _x000a_MD RAJU _x000a_YASMIN KHATOON "/>
    <s v="FEMALE "/>
    <m/>
    <m/>
    <s v="4367 9530 3593"/>
    <n v="7903225931"/>
    <m/>
    <s v="146/23"/>
    <m/>
  </r>
  <r>
    <n v="2"/>
    <s v="ZOYA PERWEEN _x000a_MD SHAHBAAZ _x000a_RUKHSAR PERWEEN "/>
    <s v="FEMALE "/>
    <m/>
    <m/>
    <m/>
    <n v="9117447194"/>
    <m/>
    <s v="179/23"/>
    <m/>
  </r>
  <r>
    <n v="3"/>
    <s v="ZIKRA PERWEEN _x000a_MD IMTIYAZ QURAISHI _x000a_SABA PERWEEN "/>
    <s v="FEMALE "/>
    <m/>
    <m/>
    <m/>
    <n v="9304167100"/>
    <m/>
    <s v="15/2022"/>
    <m/>
  </r>
  <r>
    <n v="4"/>
    <s v="AYAT PERWEEN _x000a_MD ALI _x000a_SHANJIMA ALAMIN"/>
    <s v="FEMALE "/>
    <m/>
    <m/>
    <m/>
    <n v="9128468325"/>
    <m/>
    <m/>
    <m/>
  </r>
  <r>
    <n v="5"/>
    <s v="SUHANA PERWEEN _x000a_MD NASEEM _x000a_SALMA KHATOON "/>
    <s v="FEMALE "/>
    <m/>
    <s v="07/10/2017"/>
    <m/>
    <n v="7564038142"/>
    <m/>
    <s v="81/24"/>
    <m/>
  </r>
  <r>
    <n v="6"/>
    <s v="AYESHA _x000a_MD TAHSEEN _x000a_ZAINAB "/>
    <s v="FEMALE "/>
    <m/>
    <s v="02/01/2016"/>
    <m/>
    <s v="8804932035 _x000a_7631915905"/>
    <m/>
    <s v="126/24"/>
    <m/>
  </r>
  <r>
    <n v="7"/>
    <s v="NADIYA FATIMA _x000a_MD CHUNNU _x000a_MAHZABI KHATOON "/>
    <s v="FEMALE "/>
    <m/>
    <s v="14/01/2024"/>
    <m/>
    <n v="9835485552"/>
    <m/>
    <s v="151/23"/>
    <m/>
  </r>
  <r>
    <n v="8"/>
    <s v="KULSUM PERWEEN _x000a_MD GHEYASUDDIN _x000a_RANI PERWEEN "/>
    <s v="FEMALE "/>
    <m/>
    <s v="18/03/2010"/>
    <m/>
    <n v="9123291388"/>
    <m/>
    <s v="13/24"/>
    <m/>
  </r>
  <r>
    <n v="9"/>
    <s v="NOOR JANNAT _x000a_MD ATAWARIS _x000a_NIKHAT PERWEEN "/>
    <s v="FEMALE "/>
    <m/>
    <s v="09/11/2018"/>
    <m/>
    <n v="8969634779"/>
    <m/>
    <s v="184/24"/>
    <m/>
  </r>
  <r>
    <n v="10"/>
    <s v="AMEERA AHMAD _x000a_MD RAFI AHMAD _x000a_GAJALA KHATOON "/>
    <s v="FEMALE "/>
    <m/>
    <s v="30/12/2019"/>
    <m/>
    <n v="9241538905"/>
    <m/>
    <s v="01/25"/>
    <m/>
  </r>
  <r>
    <n v="11"/>
    <s v="ZARA FATIMA _x000a_MD MAHBOOB ALAM _x000a_KHURSHIDA KHATOON "/>
    <s v="FEMALE "/>
    <m/>
    <s v="06/02/2019"/>
    <m/>
    <n v="8521434355"/>
    <m/>
    <m/>
    <m/>
  </r>
  <r>
    <n v="12"/>
    <s v="SAMAIRA ALAM _x000a_MD KHUSRUN _x000a_HENA PERWEEN "/>
    <s v="FEMALE "/>
    <m/>
    <s v="11/09/2016"/>
    <m/>
    <n v="8102121038"/>
    <m/>
    <s v="124/2023"/>
    <m/>
  </r>
  <r>
    <n v="13"/>
    <s v="UZMA KHANNAM _x000a_MOHAMMAD SHAHBUDDIN _x000a_FARHEEN KHANAM"/>
    <s v="FEMALE "/>
    <m/>
    <s v="07/11/2020"/>
    <m/>
    <s v="7563811916 _x000a_8210072572"/>
    <m/>
    <s v="08/25"/>
    <m/>
  </r>
  <r>
    <n v="14"/>
    <s v="SHAZADI KHATOON _x000a_MD MAHMOOD ALI _x000a_SHAHENA KHATOON "/>
    <s v="FEMALE "/>
    <m/>
    <m/>
    <m/>
    <s v="9304526118 _x000a_7759085964"/>
    <m/>
    <s v="39/25"/>
    <m/>
  </r>
  <r>
    <n v="15"/>
    <s v="ARAVYA KHATOON _x000a_MD SHAHNAWAZ _x000a_GUDIYA KHATOON "/>
    <s v="FEMALE "/>
    <m/>
    <s v="23/04/019"/>
    <s v="4513 5096 0774"/>
    <n v="8092109739"/>
    <m/>
    <s v="48/25"/>
    <m/>
  </r>
  <r>
    <n v="16"/>
    <s v="SHADIYA TANWEER _x000a_MD TANWEER _x000a_NEHA PERWEEN "/>
    <s v="FEMALE "/>
    <m/>
    <s v="09/07/2016"/>
    <s v="8066 8658 9426 "/>
    <n v="8368485590"/>
    <m/>
    <s v="53/25"/>
    <m/>
  </r>
  <r>
    <n v="17"/>
    <s v="MARIYAM NAAZ _x000a_MD NEYAZ _x000a_ISHRAT KHATOON "/>
    <s v="FEMALE "/>
    <m/>
    <s v="07/12/2020"/>
    <m/>
    <n v="9341422787"/>
    <m/>
    <s v="61/25"/>
    <m/>
  </r>
  <r>
    <n v="18"/>
    <s v="AYESHA FATIMA _x000a_MD IMTIYAZ _x000a_SHAGUFTA FATIMA "/>
    <s v="FEMALE "/>
    <m/>
    <s v="25/04/2016"/>
    <m/>
    <n v="6203488975"/>
    <m/>
    <s v="92/25"/>
    <m/>
  </r>
  <r>
    <n v="19"/>
    <s v="FALAK KAMAL _x000a_MD KAMAL ANWAR _x000a_RIZWANA ANJUM "/>
    <s v="FEMALE "/>
    <m/>
    <s v="18/08/2017"/>
    <m/>
    <n v="9661335235"/>
    <m/>
    <s v="140/25"/>
    <m/>
  </r>
  <r>
    <n v="20"/>
    <s v="MAHIRA FIRDOUS _x000a_MD AFJAL _x000a_HEENA PERWEEN "/>
    <s v="FEMALE "/>
    <m/>
    <s v="17/06/2019"/>
    <m/>
    <n v="9835879726"/>
    <m/>
    <s v="155/25"/>
    <m/>
  </r>
  <r>
    <n v="21"/>
    <s v="ZOYA PERWEEN _x000a_BACHHAKHA _x000a_ZEBA KHATOON "/>
    <s v="FEMALE "/>
    <m/>
    <s v="01/01/2015"/>
    <s v="3087 0978 7644"/>
    <n v="9263871404"/>
    <m/>
    <s v="165/25"/>
    <m/>
  </r>
  <r>
    <n v="22"/>
    <s v="ZAHIRA PERWEEN _x000a_MD MENHAJ _x000a_TABASSUM KHATOON  "/>
    <s v="FEMALE "/>
    <m/>
    <m/>
    <m/>
    <n v="9155196778"/>
    <m/>
    <s v="179/25"/>
    <m/>
  </r>
  <r>
    <n v="23"/>
    <s v="ALISHBA TAJ _x000a_MOHAMMAD MANZOOR ALAM _x000a_SABERA KHATOON"/>
    <s v="FEMALE "/>
    <m/>
    <s v="25/09/2019"/>
    <s v="8152 1917 3224"/>
    <n v="8271919099"/>
    <m/>
    <s v="224/25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E59E3E-0C8B-4576-B957-80FC2832C8F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5:Q22" firstHeaderRow="1" firstDataRow="1" firstDataCol="0"/>
  <pivotFields count="1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7766B9-21FB-4186-B1B0-7DBDCF357A0B}" name="Table1" displayName="Table1" ref="A3:J33" totalsRowShown="0" headerRowBorderDxfId="51" tableBorderDxfId="50" totalsRowBorderDxfId="49">
  <autoFilter ref="A3:J33" xr:uid="{1E7766B9-21FB-4186-B1B0-7DBDCF357A0B}">
    <filterColumn colId="4">
      <filters blank="1"/>
    </filterColumn>
  </autoFilter>
  <tableColumns count="10">
    <tableColumn id="1" xr3:uid="{41DF8295-EA1C-49A9-A1CF-75022E8BDE70}" name="SL. NO. " dataDxfId="48"/>
    <tableColumn id="2" xr3:uid="{D3889362-8D62-471A-BA43-01202AF23D12}" name="CANDIDATE NAME _x000a_FATHER NAME _x000a_MOTHER NAME " dataDxfId="47"/>
    <tableColumn id="3" xr3:uid="{DE15CF8E-B81B-459B-8315-8519D2B0B5D9}" name="SEX /  CAST " dataDxfId="46"/>
    <tableColumn id="4" xr3:uid="{EEAB6996-2505-40E1-AAD2-BD902AA18DB3}" name="SUBJECT" dataDxfId="45"/>
    <tableColumn id="5" xr3:uid="{DA88871B-7B71-4A64-A857-6BC18E00E60C}" name="DOB" dataDxfId="44"/>
    <tableColumn id="6" xr3:uid="{A3294501-C4E6-40D9-A5A0-986470546D82}" name="AADHAAR NO. " dataDxfId="43"/>
    <tableColumn id="7" xr3:uid="{A801880A-04C1-44CA-A61A-ACBCC8FF75E5}" name="MOBILE NO. " dataDxfId="42"/>
    <tableColumn id="8" xr3:uid="{08851799-CF10-47B1-B698-A153E88157ED}" name="ADMISSION IN CLASS" dataDxfId="41"/>
    <tableColumn id="9" xr3:uid="{E5719D93-ACDB-4989-9F7F-044C0AF45D9A}" name="ADMISSION NO." dataDxfId="40"/>
    <tableColumn id="10" xr3:uid="{834DA82D-7E9E-458A-BD9B-51EE6A1AC913}" name="DATE OF ADMISSION " dataDxfId="39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FC3E0AA-A189-496D-A372-E8229EEB193E}" name="Table2" displayName="Table2" ref="A4:J27" totalsRowShown="0" dataDxfId="37" headerRowBorderDxfId="38" tableBorderDxfId="36" totalsRowBorderDxfId="35">
  <autoFilter ref="A4:J27" xr:uid="{1FC3E0AA-A189-496D-A372-E8229EEB193E}"/>
  <tableColumns count="10">
    <tableColumn id="1" xr3:uid="{FF0B2FDD-09DD-4D51-8CA3-50D4B9153482}" name="SL. NO. " dataDxfId="34"/>
    <tableColumn id="2" xr3:uid="{D765E501-5FE0-4DF7-98B9-DB516BC274C9}" name="CANDIDATE NAME _x000a_FATHER NAME _x000a_MOTHER NAME " dataDxfId="33"/>
    <tableColumn id="3" xr3:uid="{240C2A72-3917-45A2-9C95-7C8FE8EEA69B}" name="SEX /  CAST " dataDxfId="32"/>
    <tableColumn id="4" xr3:uid="{953AC07F-5746-4652-B898-BBCF8D31A315}" name="SUBJECT" dataDxfId="31"/>
    <tableColumn id="5" xr3:uid="{772D434D-8C95-47FC-9E2D-5DCD130DD907}" name="DOB" dataDxfId="30"/>
    <tableColumn id="6" xr3:uid="{D488A06F-EA34-473D-BC98-73C9D775927C}" name="AADHAAR NO. " dataDxfId="29"/>
    <tableColumn id="7" xr3:uid="{8441FDD6-3D83-423F-8425-D8F592DAF24C}" name="MOBILE NO. " dataDxfId="28"/>
    <tableColumn id="8" xr3:uid="{12A0A2F1-EB75-472A-9B62-F36C0B5A341F}" name="ADMISSION IN CLASS" dataDxfId="27"/>
    <tableColumn id="9" xr3:uid="{616731A1-8B66-4C39-9F6A-C9C6A5B2FA21}" name="ADMISSION NO." dataDxfId="26"/>
    <tableColumn id="10" xr3:uid="{A68C7073-4A5D-40E9-8E82-8DBD0A106725}" name="DATE OF ADMISSION " dataDxfId="25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ED5ECDD-6E84-48E5-853C-1328F3E0DC3F}" name="Table14" displayName="Table14" ref="B1:K31" totalsRowShown="0" headerRowBorderDxfId="23" tableBorderDxfId="24" totalsRowBorderDxfId="22">
  <tableColumns count="10">
    <tableColumn id="1" xr3:uid="{8852ECC8-8781-4EF6-BF1A-5D49DA7473CA}" name="SL. NO. " dataDxfId="21"/>
    <tableColumn id="3" xr3:uid="{35B91F6F-1BF2-4F06-AC25-27C218D4C615}" name="CANDIDATE_NAME" dataDxfId="20"/>
    <tableColumn id="4" xr3:uid="{61786E35-E635-46C6-A244-5E2410ABE5F8}" name="FATHER_NAME" dataDxfId="19"/>
    <tableColumn id="5" xr3:uid="{4C462436-615A-4DDE-8336-22686C863711}" name="MOTHER_NAME" dataDxfId="18"/>
    <tableColumn id="6" xr3:uid="{6744B93A-DAFC-4CF6-B63F-CE76A9DA5FAD}" name="SEX /  CAST " dataDxfId="17"/>
    <tableColumn id="8" xr3:uid="{834518A2-5451-4DAF-B037-77F0081DFA53}" name="DOB" dataDxfId="16"/>
    <tableColumn id="9" xr3:uid="{1036EB47-EBD1-436C-8AE3-1A3BDE1DBFE1}" name="AADHAAR NO. " dataDxfId="15"/>
    <tableColumn id="10" xr3:uid="{D1BC727A-2E1C-4A34-A9FA-01AB19D2009C}" name="MOBILE NO. " dataDxfId="14"/>
    <tableColumn id="11" xr3:uid="{291E3C28-6E54-45C8-BA55-BE973087C217}" name="ADMISSION IN CLASS" dataDxfId="13"/>
    <tableColumn id="12" xr3:uid="{F0C8FF95-9263-49FC-B168-20F6FA0BB0FC}" name="ADMISSION NO." dataDxfId="12"/>
  </tableColumns>
  <tableStyleInfo name="TableStyleLight1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F1034A7-B3FC-4CC8-AC53-79E7971B0990}" name="Table5" displayName="Table5" ref="A1:K24" totalsRowShown="0" tableBorderDxfId="11">
  <autoFilter ref="A1:K24" xr:uid="{BF1034A7-B3FC-4CC8-AC53-79E7971B0990}"/>
  <tableColumns count="11">
    <tableColumn id="1" xr3:uid="{5BEE4323-42CB-446F-AA1D-0F999332983E}" name="School_ID" dataDxfId="10">
      <calculatedColumnFormula>"ZPS-" &amp; RIGHT(TRIM(MID(K2, FIND("/",K2)+1, 10)),2) &amp; "-" &amp; TEXT(LEFT(K2, FIND("/",K2)-1), "0000")</calculatedColumnFormula>
    </tableColumn>
    <tableColumn id="2" xr3:uid="{91D1DDAC-3475-4934-A25E-3A31F45AFA5C}" name="SL. NO. " dataDxfId="9"/>
    <tableColumn id="3" xr3:uid="{35424D3A-FA13-4311-8A62-C1EAD4411E21}" name="CANDIDATE_NAME" dataDxfId="8"/>
    <tableColumn id="4" xr3:uid="{088AE8A7-D362-4FB4-80F7-0A42565FFA07}" name="FATHER_NAME" dataDxfId="7"/>
    <tableColumn id="5" xr3:uid="{36736A08-C28C-4FD1-A69D-6E0B65252797}" name="MOTHER_NAME" dataDxfId="0"/>
    <tableColumn id="6" xr3:uid="{60282F8F-DA23-4C66-B828-18613486E5BA}" name="SEX /  CAST " dataDxfId="1"/>
    <tableColumn id="7" xr3:uid="{AD6AF5C0-A6E1-4539-9234-5071222C4AC5}" name="DOB" dataDxfId="6"/>
    <tableColumn id="8" xr3:uid="{540F47A5-D287-4431-A68D-DECEAA1CAAF7}" name="AADHAAR NO. " dataDxfId="5"/>
    <tableColumn id="9" xr3:uid="{A0D4A207-B8B0-4B59-9D4B-5198338710DE}" name="MOBILE NO. " dataDxfId="4"/>
    <tableColumn id="10" xr3:uid="{B0AAC5E4-B828-470E-8084-B9F579A4E374}" name="ADMISSION IN CLASS" dataDxfId="3"/>
    <tableColumn id="11" xr3:uid="{B7D9FB2A-2052-4EE0-B6C5-6DEBDC3F0AFD}" name="ADMISSION NO." dataDxfId="2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57C7F-0770-4B3D-8749-0C30D6790EB0}">
  <sheetPr>
    <pageSetUpPr fitToPage="1"/>
  </sheetPr>
  <dimension ref="A1:J50"/>
  <sheetViews>
    <sheetView zoomScale="130" zoomScaleNormal="130" workbookViewId="0">
      <selection activeCell="C12" sqref="C12"/>
    </sheetView>
  </sheetViews>
  <sheetFormatPr defaultRowHeight="15" x14ac:dyDescent="0.25"/>
  <cols>
    <col min="1" max="1" width="10.7109375" style="11" customWidth="1"/>
    <col min="2" max="2" width="25.28515625" customWidth="1"/>
    <col min="3" max="3" width="14.85546875" style="1" customWidth="1"/>
    <col min="4" max="4" width="11.140625" customWidth="1"/>
    <col min="5" max="5" width="12.85546875" style="5" customWidth="1"/>
    <col min="6" max="6" width="17.85546875" style="5" customWidth="1"/>
    <col min="7" max="7" width="15.5703125" customWidth="1"/>
    <col min="8" max="8" width="23.7109375" customWidth="1"/>
    <col min="9" max="9" width="18.85546875" style="5" customWidth="1"/>
    <col min="10" max="10" width="24" customWidth="1"/>
  </cols>
  <sheetData>
    <row r="1" spans="1:10" ht="15.75" x14ac:dyDescent="0.25">
      <c r="A1" s="38" t="s">
        <v>0</v>
      </c>
      <c r="B1" s="38"/>
      <c r="C1" s="38"/>
      <c r="D1" s="38"/>
      <c r="E1" s="38"/>
      <c r="F1" s="38"/>
      <c r="G1" s="38"/>
      <c r="H1" s="38"/>
      <c r="I1" s="38"/>
      <c r="J1" s="38"/>
    </row>
    <row r="2" spans="1:10" ht="15.75" x14ac:dyDescent="0.25">
      <c r="A2" s="38" t="s">
        <v>87</v>
      </c>
      <c r="B2" s="38"/>
      <c r="C2" s="38"/>
      <c r="D2" s="38"/>
      <c r="E2" s="38"/>
      <c r="F2" s="38"/>
      <c r="G2" s="38"/>
      <c r="H2" s="38"/>
      <c r="I2" s="38"/>
      <c r="J2" s="38"/>
    </row>
    <row r="3" spans="1:10" s="1" customFormat="1" ht="52.5" customHeight="1" x14ac:dyDescent="0.25">
      <c r="A3" s="14" t="s">
        <v>1</v>
      </c>
      <c r="B3" s="15" t="s">
        <v>2</v>
      </c>
      <c r="C3" s="16" t="s">
        <v>37</v>
      </c>
      <c r="D3" s="16" t="s">
        <v>3</v>
      </c>
      <c r="E3" s="17" t="s">
        <v>4</v>
      </c>
      <c r="F3" s="17" t="s">
        <v>5</v>
      </c>
      <c r="G3" s="16" t="s">
        <v>6</v>
      </c>
      <c r="H3" s="15" t="s">
        <v>7</v>
      </c>
      <c r="I3" s="18" t="s">
        <v>9</v>
      </c>
      <c r="J3" s="19" t="s">
        <v>8</v>
      </c>
    </row>
    <row r="4" spans="1:10" ht="50.25" customHeight="1" x14ac:dyDescent="0.25">
      <c r="A4" s="12">
        <v>1</v>
      </c>
      <c r="B4" s="2" t="s">
        <v>10</v>
      </c>
      <c r="C4" s="3" t="s">
        <v>11</v>
      </c>
      <c r="D4" s="3"/>
      <c r="E4" s="4"/>
      <c r="F4" s="4"/>
      <c r="G4" s="3">
        <v>7488463394</v>
      </c>
      <c r="H4" s="3"/>
      <c r="I4" s="4" t="s">
        <v>12</v>
      </c>
      <c r="J4" s="13"/>
    </row>
    <row r="5" spans="1:10" ht="50.25" hidden="1" customHeight="1" x14ac:dyDescent="0.25">
      <c r="A5" s="12">
        <v>2</v>
      </c>
      <c r="B5" s="2" t="s">
        <v>13</v>
      </c>
      <c r="C5" s="3" t="s">
        <v>11</v>
      </c>
      <c r="D5" s="3"/>
      <c r="E5" s="4" t="s">
        <v>17</v>
      </c>
      <c r="F5" s="4"/>
      <c r="G5" s="3">
        <v>7479892223</v>
      </c>
      <c r="H5" s="3"/>
      <c r="I5" s="4" t="s">
        <v>14</v>
      </c>
      <c r="J5" s="13"/>
    </row>
    <row r="6" spans="1:10" ht="47.25" hidden="1" x14ac:dyDescent="0.25">
      <c r="A6" s="12">
        <v>3</v>
      </c>
      <c r="B6" s="2" t="s">
        <v>15</v>
      </c>
      <c r="C6" s="3" t="s">
        <v>11</v>
      </c>
      <c r="D6" s="3"/>
      <c r="E6" s="4" t="s">
        <v>18</v>
      </c>
      <c r="F6" s="4" t="s">
        <v>19</v>
      </c>
      <c r="G6" s="3">
        <v>7254820438</v>
      </c>
      <c r="H6" s="3"/>
      <c r="I6" s="4" t="s">
        <v>16</v>
      </c>
      <c r="J6" s="13"/>
    </row>
    <row r="7" spans="1:10" ht="47.25" hidden="1" x14ac:dyDescent="0.25">
      <c r="A7" s="12">
        <v>4</v>
      </c>
      <c r="B7" s="2" t="s">
        <v>20</v>
      </c>
      <c r="C7" s="3" t="s">
        <v>11</v>
      </c>
      <c r="D7" s="3"/>
      <c r="E7" s="4" t="s">
        <v>21</v>
      </c>
      <c r="F7" s="4"/>
      <c r="G7" s="3">
        <v>9709578516</v>
      </c>
      <c r="H7" s="3"/>
      <c r="I7" s="4" t="s">
        <v>22</v>
      </c>
      <c r="J7" s="13"/>
    </row>
    <row r="8" spans="1:10" ht="47.25" hidden="1" x14ac:dyDescent="0.25">
      <c r="A8" s="12">
        <v>5</v>
      </c>
      <c r="B8" s="2" t="s">
        <v>23</v>
      </c>
      <c r="C8" s="3" t="s">
        <v>11</v>
      </c>
      <c r="D8" s="3"/>
      <c r="E8" s="4" t="s">
        <v>24</v>
      </c>
      <c r="F8" s="4"/>
      <c r="G8" s="3">
        <v>6203488975</v>
      </c>
      <c r="H8" s="3"/>
      <c r="I8" s="4" t="s">
        <v>25</v>
      </c>
      <c r="J8" s="13"/>
    </row>
    <row r="9" spans="1:10" ht="47.25" hidden="1" x14ac:dyDescent="0.25">
      <c r="A9" s="12">
        <v>6</v>
      </c>
      <c r="B9" s="2" t="s">
        <v>26</v>
      </c>
      <c r="C9" s="3" t="s">
        <v>11</v>
      </c>
      <c r="D9" s="3"/>
      <c r="E9" s="4" t="s">
        <v>27</v>
      </c>
      <c r="F9" s="4"/>
      <c r="G9" s="3">
        <v>7372097544</v>
      </c>
      <c r="H9" s="3"/>
      <c r="I9" s="4" t="s">
        <v>28</v>
      </c>
      <c r="J9" s="13"/>
    </row>
    <row r="10" spans="1:10" ht="47.25" x14ac:dyDescent="0.25">
      <c r="A10" s="12">
        <v>7</v>
      </c>
      <c r="B10" s="2" t="s">
        <v>29</v>
      </c>
      <c r="C10" s="3" t="s">
        <v>11</v>
      </c>
      <c r="D10" s="3"/>
      <c r="E10" s="4"/>
      <c r="F10" s="4"/>
      <c r="G10" s="3">
        <v>7258925521</v>
      </c>
      <c r="H10" s="3"/>
      <c r="I10" s="4"/>
      <c r="J10" s="13"/>
    </row>
    <row r="11" spans="1:10" ht="47.25" hidden="1" x14ac:dyDescent="0.25">
      <c r="A11" s="12">
        <v>8</v>
      </c>
      <c r="B11" s="2" t="s">
        <v>30</v>
      </c>
      <c r="C11" s="3" t="s">
        <v>11</v>
      </c>
      <c r="D11" s="3"/>
      <c r="E11" s="4" t="s">
        <v>31</v>
      </c>
      <c r="F11" s="4"/>
      <c r="G11" s="3">
        <v>7870079544</v>
      </c>
      <c r="H11" s="3"/>
      <c r="I11" s="4"/>
      <c r="J11" s="13"/>
    </row>
    <row r="12" spans="1:10" ht="47.25" x14ac:dyDescent="0.25">
      <c r="A12" s="12">
        <v>9</v>
      </c>
      <c r="B12" s="2" t="s">
        <v>32</v>
      </c>
      <c r="C12" s="3" t="s">
        <v>11</v>
      </c>
      <c r="D12" s="3"/>
      <c r="E12" s="4"/>
      <c r="F12" s="4"/>
      <c r="G12" s="3">
        <v>8083534786</v>
      </c>
      <c r="H12" s="3"/>
      <c r="I12" s="4" t="s">
        <v>33</v>
      </c>
      <c r="J12" s="13"/>
    </row>
    <row r="13" spans="1:10" ht="47.25" x14ac:dyDescent="0.25">
      <c r="A13" s="12">
        <v>10</v>
      </c>
      <c r="B13" s="2" t="s">
        <v>34</v>
      </c>
      <c r="C13" s="3" t="s">
        <v>11</v>
      </c>
      <c r="D13" s="3"/>
      <c r="E13" s="4"/>
      <c r="F13" s="4"/>
      <c r="G13" s="3">
        <v>7903065318</v>
      </c>
      <c r="H13" s="3"/>
      <c r="I13" s="4" t="s">
        <v>35</v>
      </c>
      <c r="J13" s="13"/>
    </row>
    <row r="14" spans="1:10" ht="47.25" hidden="1" x14ac:dyDescent="0.25">
      <c r="A14" s="12">
        <v>11</v>
      </c>
      <c r="B14" s="2" t="s">
        <v>36</v>
      </c>
      <c r="C14" s="3" t="s">
        <v>11</v>
      </c>
      <c r="D14" s="3"/>
      <c r="E14" s="4" t="s">
        <v>38</v>
      </c>
      <c r="F14" s="4" t="s">
        <v>39</v>
      </c>
      <c r="G14" s="3">
        <v>7858955245</v>
      </c>
      <c r="H14" s="3"/>
      <c r="I14" s="4" t="s">
        <v>40</v>
      </c>
      <c r="J14" s="13"/>
    </row>
    <row r="15" spans="1:10" ht="47.25" x14ac:dyDescent="0.25">
      <c r="A15" s="12">
        <v>12</v>
      </c>
      <c r="B15" s="2" t="s">
        <v>41</v>
      </c>
      <c r="C15" s="3" t="s">
        <v>11</v>
      </c>
      <c r="D15" s="3"/>
      <c r="E15" s="4"/>
      <c r="F15" s="4"/>
      <c r="G15" s="3">
        <v>9939611701</v>
      </c>
      <c r="H15" s="3"/>
      <c r="I15" s="4" t="s">
        <v>42</v>
      </c>
      <c r="J15" s="13"/>
    </row>
    <row r="16" spans="1:10" ht="47.25" x14ac:dyDescent="0.25">
      <c r="A16" s="12">
        <v>13</v>
      </c>
      <c r="B16" s="2" t="s">
        <v>43</v>
      </c>
      <c r="C16" s="3" t="s">
        <v>11</v>
      </c>
      <c r="D16" s="3"/>
      <c r="E16" s="4"/>
      <c r="F16" s="4"/>
      <c r="G16" s="3">
        <v>9060702119</v>
      </c>
      <c r="H16" s="3"/>
      <c r="I16" s="4" t="s">
        <v>44</v>
      </c>
      <c r="J16" s="13"/>
    </row>
    <row r="17" spans="1:10" ht="47.25" hidden="1" x14ac:dyDescent="0.25">
      <c r="A17" s="12">
        <v>14</v>
      </c>
      <c r="B17" s="2" t="s">
        <v>45</v>
      </c>
      <c r="C17" s="3" t="s">
        <v>11</v>
      </c>
      <c r="D17" s="3"/>
      <c r="E17" s="4" t="s">
        <v>46</v>
      </c>
      <c r="F17" s="4"/>
      <c r="G17" s="3">
        <v>7033025508</v>
      </c>
      <c r="H17" s="3"/>
      <c r="I17" s="4" t="s">
        <v>47</v>
      </c>
      <c r="J17" s="13"/>
    </row>
    <row r="18" spans="1:10" ht="47.25" hidden="1" x14ac:dyDescent="0.25">
      <c r="A18" s="12">
        <v>15</v>
      </c>
      <c r="B18" s="2" t="s">
        <v>48</v>
      </c>
      <c r="C18" s="3" t="s">
        <v>11</v>
      </c>
      <c r="D18" s="3"/>
      <c r="E18" s="4" t="s">
        <v>49</v>
      </c>
      <c r="F18" s="4"/>
      <c r="G18" s="3">
        <v>8789805540</v>
      </c>
      <c r="H18" s="3"/>
      <c r="I18" s="4" t="s">
        <v>50</v>
      </c>
      <c r="J18" s="13"/>
    </row>
    <row r="19" spans="1:10" ht="47.25" x14ac:dyDescent="0.25">
      <c r="A19" s="12">
        <v>16</v>
      </c>
      <c r="B19" s="2" t="s">
        <v>51</v>
      </c>
      <c r="C19" s="3" t="s">
        <v>11</v>
      </c>
      <c r="D19" s="3"/>
      <c r="E19" s="4"/>
      <c r="F19" s="4"/>
      <c r="G19" s="3">
        <v>7631969324</v>
      </c>
      <c r="H19" s="3"/>
      <c r="I19" s="4" t="s">
        <v>52</v>
      </c>
      <c r="J19" s="13"/>
    </row>
    <row r="20" spans="1:10" ht="47.25" x14ac:dyDescent="0.25">
      <c r="A20" s="12">
        <v>17</v>
      </c>
      <c r="B20" s="2" t="s">
        <v>53</v>
      </c>
      <c r="C20" s="3" t="s">
        <v>11</v>
      </c>
      <c r="D20" s="3"/>
      <c r="E20" s="4"/>
      <c r="F20" s="4"/>
      <c r="G20" s="3">
        <v>6299842380</v>
      </c>
      <c r="H20" s="3"/>
      <c r="I20" s="4" t="s">
        <v>54</v>
      </c>
      <c r="J20" s="13"/>
    </row>
    <row r="21" spans="1:10" ht="47.25" x14ac:dyDescent="0.25">
      <c r="A21" s="12">
        <v>18</v>
      </c>
      <c r="B21" s="2" t="s">
        <v>55</v>
      </c>
      <c r="C21" s="3" t="s">
        <v>11</v>
      </c>
      <c r="D21" s="3"/>
      <c r="E21" s="4"/>
      <c r="F21" s="4"/>
      <c r="G21" s="3">
        <v>9341742593</v>
      </c>
      <c r="H21" s="3"/>
      <c r="I21" s="4" t="s">
        <v>56</v>
      </c>
      <c r="J21" s="13"/>
    </row>
    <row r="22" spans="1:10" ht="47.25" hidden="1" x14ac:dyDescent="0.25">
      <c r="A22" s="12">
        <v>19</v>
      </c>
      <c r="B22" s="2" t="s">
        <v>57</v>
      </c>
      <c r="C22" s="3" t="s">
        <v>11</v>
      </c>
      <c r="D22" s="3"/>
      <c r="E22" s="4" t="s">
        <v>58</v>
      </c>
      <c r="F22" s="4"/>
      <c r="G22" s="3">
        <v>8709073549</v>
      </c>
      <c r="H22" s="3"/>
      <c r="I22" s="4" t="s">
        <v>59</v>
      </c>
      <c r="J22" s="13"/>
    </row>
    <row r="23" spans="1:10" ht="47.25" x14ac:dyDescent="0.25">
      <c r="A23" s="12">
        <v>20</v>
      </c>
      <c r="B23" s="2" t="s">
        <v>60</v>
      </c>
      <c r="C23" s="3" t="s">
        <v>11</v>
      </c>
      <c r="D23" s="3"/>
      <c r="E23" s="4"/>
      <c r="F23" s="4"/>
      <c r="G23" s="3">
        <v>9135748607</v>
      </c>
      <c r="H23" s="3"/>
      <c r="I23" s="4" t="s">
        <v>61</v>
      </c>
      <c r="J23" s="13"/>
    </row>
    <row r="24" spans="1:10" ht="47.25" hidden="1" x14ac:dyDescent="0.25">
      <c r="A24" s="12">
        <v>21</v>
      </c>
      <c r="B24" s="2" t="s">
        <v>62</v>
      </c>
      <c r="C24" s="3" t="s">
        <v>11</v>
      </c>
      <c r="D24" s="3"/>
      <c r="E24" s="4" t="s">
        <v>63</v>
      </c>
      <c r="F24" s="4"/>
      <c r="G24" s="3">
        <v>6206514505</v>
      </c>
      <c r="H24" s="3"/>
      <c r="I24" s="4" t="s">
        <v>64</v>
      </c>
      <c r="J24" s="13"/>
    </row>
    <row r="25" spans="1:10" ht="47.25" hidden="1" x14ac:dyDescent="0.25">
      <c r="A25" s="12">
        <v>22</v>
      </c>
      <c r="B25" s="2" t="s">
        <v>65</v>
      </c>
      <c r="C25" s="3" t="s">
        <v>11</v>
      </c>
      <c r="D25" s="3"/>
      <c r="E25" s="4" t="s">
        <v>66</v>
      </c>
      <c r="F25" s="4"/>
      <c r="G25" s="2" t="s">
        <v>67</v>
      </c>
      <c r="H25" s="3"/>
      <c r="I25" s="4" t="s">
        <v>68</v>
      </c>
      <c r="J25" s="13"/>
    </row>
    <row r="26" spans="1:10" ht="47.25" x14ac:dyDescent="0.25">
      <c r="A26" s="12">
        <v>23</v>
      </c>
      <c r="B26" s="2" t="s">
        <v>69</v>
      </c>
      <c r="C26" s="3" t="s">
        <v>11</v>
      </c>
      <c r="D26" s="3"/>
      <c r="E26" s="4"/>
      <c r="F26" s="4"/>
      <c r="G26" s="3">
        <v>9709701492</v>
      </c>
      <c r="H26" s="3"/>
      <c r="I26" s="4" t="s">
        <v>70</v>
      </c>
      <c r="J26" s="13"/>
    </row>
    <row r="27" spans="1:10" ht="47.25" x14ac:dyDescent="0.25">
      <c r="A27" s="12">
        <v>24</v>
      </c>
      <c r="B27" s="2" t="s">
        <v>71</v>
      </c>
      <c r="C27" s="3" t="s">
        <v>11</v>
      </c>
      <c r="D27" s="3"/>
      <c r="E27" s="4"/>
      <c r="F27" s="4"/>
      <c r="G27" s="3">
        <v>7304277020</v>
      </c>
      <c r="H27" s="3"/>
      <c r="I27" s="4" t="s">
        <v>72</v>
      </c>
      <c r="J27" s="13"/>
    </row>
    <row r="28" spans="1:10" ht="47.25" x14ac:dyDescent="0.25">
      <c r="A28" s="12">
        <v>25</v>
      </c>
      <c r="B28" s="2" t="s">
        <v>73</v>
      </c>
      <c r="C28" s="3" t="s">
        <v>11</v>
      </c>
      <c r="D28" s="3"/>
      <c r="E28" s="4"/>
      <c r="F28" s="4"/>
      <c r="G28" s="3">
        <v>7779987957</v>
      </c>
      <c r="H28" s="3"/>
      <c r="I28" s="4" t="s">
        <v>74</v>
      </c>
      <c r="J28" s="13"/>
    </row>
    <row r="29" spans="1:10" ht="47.25" x14ac:dyDescent="0.25">
      <c r="A29" s="12">
        <v>26</v>
      </c>
      <c r="B29" s="2" t="s">
        <v>75</v>
      </c>
      <c r="C29" s="3" t="s">
        <v>11</v>
      </c>
      <c r="D29" s="3"/>
      <c r="E29" s="4"/>
      <c r="F29" s="4"/>
      <c r="G29" s="3">
        <v>9264253545</v>
      </c>
      <c r="H29" s="3"/>
      <c r="I29" s="4"/>
      <c r="J29" s="13"/>
    </row>
    <row r="30" spans="1:10" ht="47.25" hidden="1" x14ac:dyDescent="0.25">
      <c r="A30" s="12">
        <v>27</v>
      </c>
      <c r="B30" s="2" t="s">
        <v>76</v>
      </c>
      <c r="C30" s="3" t="s">
        <v>11</v>
      </c>
      <c r="D30" s="3"/>
      <c r="E30" s="4" t="s">
        <v>77</v>
      </c>
      <c r="F30" s="4"/>
      <c r="G30" s="3">
        <v>8102121038</v>
      </c>
      <c r="H30" s="3"/>
      <c r="I30" s="4" t="s">
        <v>78</v>
      </c>
      <c r="J30" s="13"/>
    </row>
    <row r="31" spans="1:10" ht="47.25" hidden="1" x14ac:dyDescent="0.25">
      <c r="A31" s="12">
        <v>28</v>
      </c>
      <c r="B31" s="2" t="s">
        <v>79</v>
      </c>
      <c r="C31" s="3" t="s">
        <v>11</v>
      </c>
      <c r="D31" s="3"/>
      <c r="E31" s="4" t="s">
        <v>80</v>
      </c>
      <c r="F31" s="4"/>
      <c r="G31" s="3">
        <v>6299202596</v>
      </c>
      <c r="H31" s="3"/>
      <c r="I31" s="4" t="s">
        <v>81</v>
      </c>
      <c r="J31" s="13"/>
    </row>
    <row r="32" spans="1:10" ht="47.25" hidden="1" x14ac:dyDescent="0.25">
      <c r="A32" s="12">
        <v>29</v>
      </c>
      <c r="B32" s="2" t="s">
        <v>82</v>
      </c>
      <c r="C32" s="3" t="s">
        <v>11</v>
      </c>
      <c r="D32" s="3"/>
      <c r="E32" s="4" t="s">
        <v>83</v>
      </c>
      <c r="F32" s="4" t="s">
        <v>84</v>
      </c>
      <c r="G32" s="3">
        <v>9135624798</v>
      </c>
      <c r="H32" s="3"/>
      <c r="I32" s="4" t="s">
        <v>85</v>
      </c>
      <c r="J32" s="13"/>
    </row>
    <row r="33" spans="1:10" ht="47.25" x14ac:dyDescent="0.25">
      <c r="A33" s="20">
        <v>30</v>
      </c>
      <c r="B33" s="21" t="s">
        <v>86</v>
      </c>
      <c r="C33" s="22" t="s">
        <v>11</v>
      </c>
      <c r="D33" s="22"/>
      <c r="E33" s="23"/>
      <c r="F33" s="23"/>
      <c r="G33" s="22">
        <v>7979834788</v>
      </c>
      <c r="H33" s="22"/>
      <c r="I33" s="23"/>
      <c r="J33" s="24"/>
    </row>
    <row r="34" spans="1:10" x14ac:dyDescent="0.25">
      <c r="A34" s="10"/>
      <c r="E34"/>
      <c r="F34"/>
      <c r="I34"/>
    </row>
    <row r="35" spans="1:10" x14ac:dyDescent="0.25">
      <c r="A35" s="10"/>
      <c r="E35"/>
      <c r="F35"/>
      <c r="I35"/>
    </row>
    <row r="36" spans="1:10" x14ac:dyDescent="0.25">
      <c r="A36" s="10"/>
      <c r="E36"/>
      <c r="F36"/>
      <c r="I36"/>
    </row>
    <row r="37" spans="1:10" x14ac:dyDescent="0.25">
      <c r="A37" s="10"/>
      <c r="E37"/>
      <c r="F37"/>
      <c r="I37"/>
    </row>
    <row r="38" spans="1:10" x14ac:dyDescent="0.25">
      <c r="A38" s="10"/>
      <c r="E38"/>
      <c r="F38"/>
      <c r="I38"/>
    </row>
    <row r="39" spans="1:10" x14ac:dyDescent="0.25">
      <c r="A39" s="10"/>
      <c r="E39"/>
      <c r="F39"/>
      <c r="I39"/>
    </row>
    <row r="40" spans="1:10" x14ac:dyDescent="0.25">
      <c r="A40" s="10"/>
      <c r="E40"/>
      <c r="F40"/>
      <c r="I40"/>
    </row>
    <row r="41" spans="1:10" x14ac:dyDescent="0.25">
      <c r="A41" s="10"/>
      <c r="E41"/>
      <c r="F41"/>
      <c r="I41"/>
    </row>
    <row r="42" spans="1:10" x14ac:dyDescent="0.25">
      <c r="A42" s="10"/>
      <c r="E42"/>
      <c r="F42"/>
      <c r="I42"/>
    </row>
    <row r="43" spans="1:10" x14ac:dyDescent="0.25">
      <c r="A43" s="10"/>
      <c r="E43"/>
      <c r="F43"/>
      <c r="I43"/>
    </row>
    <row r="44" spans="1:10" x14ac:dyDescent="0.25">
      <c r="A44" s="10"/>
      <c r="E44"/>
      <c r="F44"/>
      <c r="I44"/>
    </row>
    <row r="45" spans="1:10" x14ac:dyDescent="0.25">
      <c r="A45" s="10"/>
      <c r="E45"/>
      <c r="F45"/>
      <c r="I45"/>
    </row>
    <row r="46" spans="1:10" x14ac:dyDescent="0.25">
      <c r="A46" s="10"/>
      <c r="E46"/>
      <c r="F46"/>
      <c r="I46"/>
    </row>
    <row r="47" spans="1:10" x14ac:dyDescent="0.25">
      <c r="A47" s="10"/>
      <c r="E47"/>
      <c r="F47"/>
      <c r="I47"/>
    </row>
    <row r="48" spans="1:10" x14ac:dyDescent="0.25">
      <c r="A48" s="10"/>
      <c r="E48"/>
      <c r="F48"/>
      <c r="I48"/>
    </row>
    <row r="49" spans="1:9" x14ac:dyDescent="0.25">
      <c r="A49" s="10"/>
      <c r="E49"/>
      <c r="F49"/>
      <c r="I49"/>
    </row>
    <row r="50" spans="1:9" x14ac:dyDescent="0.25">
      <c r="A50" s="10"/>
      <c r="E50"/>
      <c r="F50"/>
      <c r="I50"/>
    </row>
  </sheetData>
  <mergeCells count="2">
    <mergeCell ref="A1:J1"/>
    <mergeCell ref="A2:J2"/>
  </mergeCells>
  <pageMargins left="0.7" right="0.7" top="0.75" bottom="0.75" header="0.3" footer="0.3"/>
  <pageSetup scale="90" fitToHeight="0" orientation="landscape" r:id="rId1"/>
  <rowBreaks count="3" manualBreakCount="3">
    <brk id="13" max="16383" man="1"/>
    <brk id="23" max="16383" man="1"/>
    <brk id="33" max="16383" man="1"/>
  </rowBreaks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B8530-9AC0-437F-91D4-72A0838671CD}">
  <sheetPr>
    <pageSetUpPr fitToPage="1"/>
  </sheetPr>
  <dimension ref="A2:Q33"/>
  <sheetViews>
    <sheetView zoomScaleNormal="100" workbookViewId="0">
      <selection activeCell="H5" sqref="H5"/>
    </sheetView>
  </sheetViews>
  <sheetFormatPr defaultRowHeight="15" x14ac:dyDescent="0.25"/>
  <cols>
    <col min="1" max="1" width="10.7109375" customWidth="1"/>
    <col min="2" max="2" width="23.5703125" customWidth="1"/>
    <col min="3" max="3" width="14.85546875" style="6" customWidth="1"/>
    <col min="4" max="4" width="11.140625" customWidth="1"/>
    <col min="5" max="5" width="13.5703125" style="5" customWidth="1"/>
    <col min="6" max="6" width="17.85546875" customWidth="1"/>
    <col min="7" max="7" width="16.28515625" customWidth="1"/>
    <col min="8" max="8" width="23.7109375" customWidth="1"/>
    <col min="9" max="9" width="18.85546875" style="5" customWidth="1"/>
    <col min="10" max="10" width="24" customWidth="1"/>
  </cols>
  <sheetData>
    <row r="2" spans="1:17" ht="20.25" customHeight="1" x14ac:dyDescent="0.25">
      <c r="A2" s="38" t="s">
        <v>0</v>
      </c>
      <c r="B2" s="38"/>
      <c r="C2" s="38"/>
      <c r="D2" s="38"/>
      <c r="E2" s="38"/>
      <c r="F2" s="38"/>
      <c r="G2" s="38"/>
      <c r="H2" s="38"/>
      <c r="I2" s="38"/>
      <c r="J2" s="38"/>
    </row>
    <row r="3" spans="1:17" ht="19.5" customHeight="1" x14ac:dyDescent="0.25">
      <c r="A3" s="38" t="s">
        <v>88</v>
      </c>
      <c r="B3" s="38"/>
      <c r="C3" s="38"/>
      <c r="D3" s="38"/>
      <c r="E3" s="38"/>
      <c r="F3" s="38"/>
      <c r="G3" s="38"/>
      <c r="H3" s="38"/>
      <c r="I3" s="38"/>
      <c r="J3" s="38"/>
    </row>
    <row r="4" spans="1:17" ht="51.75" customHeight="1" x14ac:dyDescent="0.25">
      <c r="A4" s="14" t="s">
        <v>1</v>
      </c>
      <c r="B4" s="15" t="s">
        <v>2</v>
      </c>
      <c r="C4" s="15" t="s">
        <v>37</v>
      </c>
      <c r="D4" s="16" t="s">
        <v>3</v>
      </c>
      <c r="E4" s="17" t="s">
        <v>4</v>
      </c>
      <c r="F4" s="17" t="s">
        <v>5</v>
      </c>
      <c r="G4" s="16" t="s">
        <v>6</v>
      </c>
      <c r="H4" s="15" t="s">
        <v>7</v>
      </c>
      <c r="I4" s="18" t="s">
        <v>9</v>
      </c>
      <c r="J4" s="19" t="s">
        <v>8</v>
      </c>
    </row>
    <row r="5" spans="1:17" ht="53.25" customHeight="1" x14ac:dyDescent="0.25">
      <c r="A5" s="25">
        <v>1</v>
      </c>
      <c r="B5" s="2" t="s">
        <v>89</v>
      </c>
      <c r="C5" s="2" t="s">
        <v>90</v>
      </c>
      <c r="D5" s="3"/>
      <c r="E5" s="4"/>
      <c r="F5" s="3" t="s">
        <v>91</v>
      </c>
      <c r="G5" s="3">
        <v>7903225931</v>
      </c>
      <c r="H5" s="3"/>
      <c r="I5" s="4" t="s">
        <v>92</v>
      </c>
      <c r="J5" s="13"/>
      <c r="O5" s="27"/>
      <c r="P5" s="28"/>
      <c r="Q5" s="29"/>
    </row>
    <row r="6" spans="1:17" ht="51" customHeight="1" x14ac:dyDescent="0.25">
      <c r="A6" s="25">
        <v>2</v>
      </c>
      <c r="B6" s="2" t="s">
        <v>93</v>
      </c>
      <c r="C6" s="2" t="s">
        <v>90</v>
      </c>
      <c r="D6" s="3"/>
      <c r="E6" s="4"/>
      <c r="F6" s="3"/>
      <c r="G6" s="3">
        <v>9117447194</v>
      </c>
      <c r="H6" s="3"/>
      <c r="I6" s="4" t="s">
        <v>94</v>
      </c>
      <c r="J6" s="13"/>
      <c r="O6" s="30"/>
      <c r="P6" s="31"/>
      <c r="Q6" s="32"/>
    </row>
    <row r="7" spans="1:17" ht="47.25" x14ac:dyDescent="0.25">
      <c r="A7" s="25">
        <v>3</v>
      </c>
      <c r="B7" s="2" t="s">
        <v>95</v>
      </c>
      <c r="C7" s="2" t="s">
        <v>90</v>
      </c>
      <c r="D7" s="3"/>
      <c r="E7" s="4"/>
      <c r="F7" s="3"/>
      <c r="G7" s="3">
        <v>9304167100</v>
      </c>
      <c r="H7" s="3"/>
      <c r="I7" s="4" t="s">
        <v>96</v>
      </c>
      <c r="J7" s="13"/>
      <c r="O7" s="30"/>
      <c r="P7" s="31"/>
      <c r="Q7" s="32"/>
    </row>
    <row r="8" spans="1:17" ht="47.25" x14ac:dyDescent="0.25">
      <c r="A8" s="25">
        <v>4</v>
      </c>
      <c r="B8" s="2" t="s">
        <v>107</v>
      </c>
      <c r="C8" s="2" t="s">
        <v>90</v>
      </c>
      <c r="D8" s="3"/>
      <c r="E8" s="9"/>
      <c r="F8" s="7"/>
      <c r="G8" s="3">
        <v>9128468325</v>
      </c>
      <c r="H8" s="7"/>
      <c r="I8" s="9"/>
      <c r="J8" s="13"/>
      <c r="O8" s="30"/>
      <c r="P8" s="31"/>
      <c r="Q8" s="32"/>
    </row>
    <row r="9" spans="1:17" ht="47.25" x14ac:dyDescent="0.25">
      <c r="A9" s="25">
        <v>5</v>
      </c>
      <c r="B9" s="2" t="s">
        <v>97</v>
      </c>
      <c r="C9" s="2" t="s">
        <v>90</v>
      </c>
      <c r="D9" s="3"/>
      <c r="E9" s="4" t="s">
        <v>98</v>
      </c>
      <c r="F9" s="3"/>
      <c r="G9" s="3">
        <v>7564038142</v>
      </c>
      <c r="H9" s="3"/>
      <c r="I9" s="4" t="s">
        <v>99</v>
      </c>
      <c r="J9" s="13"/>
      <c r="O9" s="30"/>
      <c r="P9" s="31"/>
      <c r="Q9" s="32"/>
    </row>
    <row r="10" spans="1:17" ht="47.25" x14ac:dyDescent="0.25">
      <c r="A10" s="25">
        <v>6</v>
      </c>
      <c r="B10" s="2" t="s">
        <v>100</v>
      </c>
      <c r="C10" s="2" t="s">
        <v>90</v>
      </c>
      <c r="D10" s="3"/>
      <c r="E10" s="4" t="s">
        <v>101</v>
      </c>
      <c r="F10" s="3"/>
      <c r="G10" s="2" t="s">
        <v>102</v>
      </c>
      <c r="H10" s="3"/>
      <c r="I10" s="4" t="s">
        <v>103</v>
      </c>
      <c r="J10" s="13"/>
      <c r="O10" s="30"/>
      <c r="P10" s="31"/>
      <c r="Q10" s="32"/>
    </row>
    <row r="11" spans="1:17" ht="47.25" x14ac:dyDescent="0.25">
      <c r="A11" s="25">
        <v>7</v>
      </c>
      <c r="B11" s="2" t="s">
        <v>104</v>
      </c>
      <c r="C11" s="2" t="s">
        <v>90</v>
      </c>
      <c r="D11" s="3"/>
      <c r="E11" s="4" t="s">
        <v>105</v>
      </c>
      <c r="F11" s="3"/>
      <c r="G11" s="3">
        <v>9835485552</v>
      </c>
      <c r="H11" s="3"/>
      <c r="I11" s="4" t="s">
        <v>106</v>
      </c>
      <c r="J11" s="13"/>
      <c r="O11" s="30"/>
      <c r="P11" s="31"/>
      <c r="Q11" s="32"/>
    </row>
    <row r="12" spans="1:17" ht="47.25" x14ac:dyDescent="0.25">
      <c r="A12" s="25">
        <v>8</v>
      </c>
      <c r="B12" s="2" t="s">
        <v>108</v>
      </c>
      <c r="C12" s="2" t="s">
        <v>90</v>
      </c>
      <c r="D12" s="3"/>
      <c r="E12" s="4" t="s">
        <v>109</v>
      </c>
      <c r="F12" s="3"/>
      <c r="G12" s="3">
        <v>9123291388</v>
      </c>
      <c r="H12" s="3"/>
      <c r="I12" s="4" t="s">
        <v>110</v>
      </c>
      <c r="J12" s="13"/>
      <c r="O12" s="30"/>
      <c r="P12" s="31"/>
      <c r="Q12" s="32"/>
    </row>
    <row r="13" spans="1:17" ht="47.25" x14ac:dyDescent="0.25">
      <c r="A13" s="25">
        <v>9</v>
      </c>
      <c r="B13" s="2" t="s">
        <v>111</v>
      </c>
      <c r="C13" s="2" t="s">
        <v>90</v>
      </c>
      <c r="D13" s="3"/>
      <c r="E13" s="4" t="s">
        <v>112</v>
      </c>
      <c r="F13" s="3"/>
      <c r="G13" s="3">
        <v>8969634779</v>
      </c>
      <c r="H13" s="3"/>
      <c r="I13" s="4" t="s">
        <v>113</v>
      </c>
      <c r="J13" s="13"/>
      <c r="O13" s="30"/>
      <c r="P13" s="31"/>
      <c r="Q13" s="32"/>
    </row>
    <row r="14" spans="1:17" ht="47.25" x14ac:dyDescent="0.25">
      <c r="A14" s="25">
        <v>10</v>
      </c>
      <c r="B14" s="2" t="s">
        <v>116</v>
      </c>
      <c r="C14" s="2" t="s">
        <v>90</v>
      </c>
      <c r="D14" s="3"/>
      <c r="E14" s="4" t="s">
        <v>115</v>
      </c>
      <c r="F14" s="3"/>
      <c r="G14" s="3">
        <v>9241538905</v>
      </c>
      <c r="H14" s="3"/>
      <c r="I14" s="4" t="s">
        <v>114</v>
      </c>
      <c r="J14" s="13"/>
      <c r="O14" s="30"/>
      <c r="P14" s="31"/>
      <c r="Q14" s="32"/>
    </row>
    <row r="15" spans="1:17" ht="47.25" x14ac:dyDescent="0.25">
      <c r="A15" s="25">
        <v>11</v>
      </c>
      <c r="B15" s="2" t="s">
        <v>117</v>
      </c>
      <c r="C15" s="2" t="s">
        <v>90</v>
      </c>
      <c r="D15" s="3"/>
      <c r="E15" s="4" t="s">
        <v>118</v>
      </c>
      <c r="F15" s="3"/>
      <c r="G15" s="3">
        <v>8521434355</v>
      </c>
      <c r="H15" s="3"/>
      <c r="I15" s="4"/>
      <c r="J15" s="13"/>
      <c r="O15" s="30"/>
      <c r="P15" s="31"/>
      <c r="Q15" s="32"/>
    </row>
    <row r="16" spans="1:17" ht="47.25" x14ac:dyDescent="0.25">
      <c r="A16" s="25">
        <v>12</v>
      </c>
      <c r="B16" s="2" t="s">
        <v>121</v>
      </c>
      <c r="C16" s="2" t="s">
        <v>90</v>
      </c>
      <c r="D16" s="3"/>
      <c r="E16" s="4" t="s">
        <v>120</v>
      </c>
      <c r="F16" s="3"/>
      <c r="G16" s="3">
        <v>8102121038</v>
      </c>
      <c r="H16" s="3"/>
      <c r="I16" s="4" t="s">
        <v>119</v>
      </c>
      <c r="J16" s="13"/>
      <c r="O16" s="30"/>
      <c r="P16" s="31"/>
      <c r="Q16" s="32"/>
    </row>
    <row r="17" spans="1:17" ht="63" x14ac:dyDescent="0.25">
      <c r="A17" s="25">
        <v>13</v>
      </c>
      <c r="B17" s="2" t="s">
        <v>122</v>
      </c>
      <c r="C17" s="2" t="s">
        <v>90</v>
      </c>
      <c r="D17" s="3"/>
      <c r="E17" s="4" t="s">
        <v>123</v>
      </c>
      <c r="F17" s="3"/>
      <c r="G17" s="2" t="s">
        <v>124</v>
      </c>
      <c r="H17" s="3"/>
      <c r="I17" s="4" t="s">
        <v>125</v>
      </c>
      <c r="J17" s="13"/>
      <c r="O17" s="30"/>
      <c r="P17" s="31"/>
      <c r="Q17" s="32"/>
    </row>
    <row r="18" spans="1:17" ht="47.25" x14ac:dyDescent="0.25">
      <c r="A18" s="25">
        <v>14</v>
      </c>
      <c r="B18" s="2" t="s">
        <v>126</v>
      </c>
      <c r="C18" s="2" t="s">
        <v>90</v>
      </c>
      <c r="D18" s="3"/>
      <c r="E18" s="4"/>
      <c r="F18" s="3"/>
      <c r="G18" s="2" t="s">
        <v>127</v>
      </c>
      <c r="H18" s="3"/>
      <c r="I18" s="4" t="s">
        <v>128</v>
      </c>
      <c r="J18" s="13"/>
      <c r="O18" s="30"/>
      <c r="P18" s="31"/>
      <c r="Q18" s="32"/>
    </row>
    <row r="19" spans="1:17" ht="47.25" x14ac:dyDescent="0.25">
      <c r="A19" s="25">
        <v>15</v>
      </c>
      <c r="B19" s="2" t="s">
        <v>129</v>
      </c>
      <c r="C19" s="2" t="s">
        <v>90</v>
      </c>
      <c r="D19" s="3"/>
      <c r="E19" s="4" t="s">
        <v>130</v>
      </c>
      <c r="F19" s="3" t="s">
        <v>131</v>
      </c>
      <c r="G19" s="3">
        <v>8092109739</v>
      </c>
      <c r="H19" s="3"/>
      <c r="I19" s="4" t="s">
        <v>132</v>
      </c>
      <c r="J19" s="13"/>
      <c r="O19" s="30"/>
      <c r="P19" s="31"/>
      <c r="Q19" s="32"/>
    </row>
    <row r="20" spans="1:17" ht="47.25" x14ac:dyDescent="0.25">
      <c r="A20" s="25">
        <v>16</v>
      </c>
      <c r="B20" s="2" t="s">
        <v>133</v>
      </c>
      <c r="C20" s="2" t="s">
        <v>90</v>
      </c>
      <c r="D20" s="3"/>
      <c r="E20" s="4" t="s">
        <v>134</v>
      </c>
      <c r="F20" s="3" t="s">
        <v>135</v>
      </c>
      <c r="G20" s="3">
        <v>8368485590</v>
      </c>
      <c r="H20" s="3"/>
      <c r="I20" s="4" t="s">
        <v>136</v>
      </c>
      <c r="J20" s="13"/>
      <c r="O20" s="30"/>
      <c r="P20" s="31"/>
      <c r="Q20" s="32"/>
    </row>
    <row r="21" spans="1:17" ht="47.25" x14ac:dyDescent="0.25">
      <c r="A21" s="25">
        <v>17</v>
      </c>
      <c r="B21" s="2" t="s">
        <v>137</v>
      </c>
      <c r="C21" s="2" t="s">
        <v>90</v>
      </c>
      <c r="D21" s="3"/>
      <c r="E21" s="4" t="s">
        <v>138</v>
      </c>
      <c r="F21" s="3"/>
      <c r="G21" s="3">
        <v>9341422787</v>
      </c>
      <c r="H21" s="3"/>
      <c r="I21" s="4" t="s">
        <v>139</v>
      </c>
      <c r="J21" s="13"/>
      <c r="O21" s="30"/>
      <c r="P21" s="31"/>
      <c r="Q21" s="32"/>
    </row>
    <row r="22" spans="1:17" ht="47.25" x14ac:dyDescent="0.25">
      <c r="A22" s="25">
        <v>18</v>
      </c>
      <c r="B22" s="2" t="s">
        <v>140</v>
      </c>
      <c r="C22" s="2" t="s">
        <v>90</v>
      </c>
      <c r="D22" s="3"/>
      <c r="E22" s="4" t="s">
        <v>141</v>
      </c>
      <c r="F22" s="3"/>
      <c r="G22" s="3">
        <v>6203488975</v>
      </c>
      <c r="H22" s="3"/>
      <c r="I22" s="4" t="s">
        <v>142</v>
      </c>
      <c r="J22" s="13"/>
      <c r="O22" s="33"/>
      <c r="P22" s="34"/>
      <c r="Q22" s="35"/>
    </row>
    <row r="23" spans="1:17" ht="47.25" x14ac:dyDescent="0.25">
      <c r="A23" s="25">
        <v>19</v>
      </c>
      <c r="B23" s="2" t="s">
        <v>143</v>
      </c>
      <c r="C23" s="2" t="s">
        <v>90</v>
      </c>
      <c r="D23" s="3"/>
      <c r="E23" s="4" t="s">
        <v>144</v>
      </c>
      <c r="F23" s="3"/>
      <c r="G23" s="3">
        <v>9661335235</v>
      </c>
      <c r="H23" s="3"/>
      <c r="I23" s="4" t="s">
        <v>145</v>
      </c>
      <c r="J23" s="13"/>
    </row>
    <row r="24" spans="1:17" ht="47.25" x14ac:dyDescent="0.25">
      <c r="A24" s="25">
        <v>20</v>
      </c>
      <c r="B24" s="2" t="s">
        <v>146</v>
      </c>
      <c r="C24" s="2" t="s">
        <v>90</v>
      </c>
      <c r="D24" s="3"/>
      <c r="E24" s="4" t="s">
        <v>147</v>
      </c>
      <c r="F24" s="3"/>
      <c r="G24" s="3">
        <v>9835879726</v>
      </c>
      <c r="H24" s="3"/>
      <c r="I24" s="4" t="s">
        <v>148</v>
      </c>
      <c r="J24" s="13"/>
    </row>
    <row r="25" spans="1:17" ht="47.25" x14ac:dyDescent="0.25">
      <c r="A25" s="25">
        <v>21</v>
      </c>
      <c r="B25" s="2" t="s">
        <v>149</v>
      </c>
      <c r="C25" s="2" t="s">
        <v>90</v>
      </c>
      <c r="D25" s="3"/>
      <c r="E25" s="4" t="s">
        <v>150</v>
      </c>
      <c r="F25" s="3" t="s">
        <v>152</v>
      </c>
      <c r="G25" s="3">
        <v>9263871404</v>
      </c>
      <c r="H25" s="3"/>
      <c r="I25" s="4" t="s">
        <v>151</v>
      </c>
      <c r="J25" s="13"/>
    </row>
    <row r="26" spans="1:17" ht="47.25" x14ac:dyDescent="0.25">
      <c r="A26" s="25">
        <v>22</v>
      </c>
      <c r="B26" s="2" t="s">
        <v>153</v>
      </c>
      <c r="C26" s="2" t="s">
        <v>90</v>
      </c>
      <c r="D26" s="3"/>
      <c r="E26" s="4"/>
      <c r="F26" s="3"/>
      <c r="G26" s="3">
        <v>9155196778</v>
      </c>
      <c r="H26" s="3"/>
      <c r="I26" s="4" t="s">
        <v>154</v>
      </c>
      <c r="J26" s="13"/>
    </row>
    <row r="27" spans="1:17" ht="63" x14ac:dyDescent="0.25">
      <c r="A27" s="26">
        <v>23</v>
      </c>
      <c r="B27" s="21" t="s">
        <v>155</v>
      </c>
      <c r="C27" s="21" t="s">
        <v>90</v>
      </c>
      <c r="D27" s="22"/>
      <c r="E27" s="23" t="s">
        <v>156</v>
      </c>
      <c r="F27" s="22" t="s">
        <v>157</v>
      </c>
      <c r="G27" s="22">
        <v>8271919099</v>
      </c>
      <c r="H27" s="22"/>
      <c r="I27" s="23" t="s">
        <v>158</v>
      </c>
      <c r="J27" s="24"/>
    </row>
    <row r="28" spans="1:17" ht="15.75" x14ac:dyDescent="0.25">
      <c r="B28" s="8"/>
      <c r="C28"/>
    </row>
    <row r="29" spans="1:17" x14ac:dyDescent="0.25">
      <c r="C29"/>
    </row>
    <row r="30" spans="1:17" x14ac:dyDescent="0.25">
      <c r="C30"/>
    </row>
    <row r="31" spans="1:17" x14ac:dyDescent="0.25">
      <c r="C31"/>
    </row>
    <row r="32" spans="1:17" x14ac:dyDescent="0.25">
      <c r="C32"/>
    </row>
    <row r="33" spans="3:3" x14ac:dyDescent="0.25">
      <c r="C33"/>
    </row>
  </sheetData>
  <mergeCells count="2">
    <mergeCell ref="A2:J2"/>
    <mergeCell ref="A3:J3"/>
  </mergeCells>
  <pageMargins left="0.7" right="0.7" top="0.75" bottom="0.75" header="0.3" footer="0.3"/>
  <pageSetup scale="87" fitToHeight="0" orientation="landscape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D157D-48BA-4DD0-8AA6-4E51ACF1C132}">
  <sheetPr>
    <pageSetUpPr fitToPage="1"/>
  </sheetPr>
  <dimension ref="A1:N50"/>
  <sheetViews>
    <sheetView zoomScale="70" zoomScaleNormal="70" workbookViewId="0">
      <pane ySplit="1" topLeftCell="A2" activePane="bottomLeft" state="frozen"/>
      <selection pane="bottomLeft" activeCell="A2" sqref="A2"/>
    </sheetView>
  </sheetViews>
  <sheetFormatPr defaultRowHeight="15" customHeight="1" x14ac:dyDescent="0.25"/>
  <cols>
    <col min="1" max="1" width="17.7109375" style="11" bestFit="1" customWidth="1"/>
    <col min="2" max="2" width="14.42578125" bestFit="1" customWidth="1"/>
    <col min="3" max="3" width="21.42578125" style="1" bestFit="1" customWidth="1"/>
    <col min="4" max="4" width="24.5703125" bestFit="1" customWidth="1"/>
    <col min="5" max="5" width="24.85546875" style="5" bestFit="1" customWidth="1"/>
    <col min="6" max="6" width="25.7109375" style="5" bestFit="1" customWidth="1"/>
    <col min="7" max="7" width="22" bestFit="1" customWidth="1"/>
    <col min="8" max="8" width="19.5703125" bestFit="1" customWidth="1"/>
    <col min="9" max="9" width="21.42578125" style="5" customWidth="1"/>
    <col min="10" max="10" width="8.140625" customWidth="1"/>
    <col min="11" max="11" width="15.7109375" bestFit="1" customWidth="1"/>
    <col min="16" max="16" width="16.42578125" bestFit="1" customWidth="1"/>
    <col min="17" max="17" width="15" customWidth="1"/>
    <col min="18" max="18" width="15.28515625" bestFit="1" customWidth="1"/>
  </cols>
  <sheetData>
    <row r="1" spans="1:14" ht="31.5" customHeight="1" x14ac:dyDescent="0.25">
      <c r="A1" s="14" t="s">
        <v>264</v>
      </c>
      <c r="B1" s="14" t="s">
        <v>1</v>
      </c>
      <c r="C1" s="14" t="s">
        <v>358</v>
      </c>
      <c r="D1" s="14" t="s">
        <v>359</v>
      </c>
      <c r="E1" s="14" t="s">
        <v>360</v>
      </c>
      <c r="F1" s="43" t="s">
        <v>37</v>
      </c>
      <c r="G1" s="44" t="s">
        <v>4</v>
      </c>
      <c r="H1" s="44" t="s">
        <v>5</v>
      </c>
      <c r="I1" s="43" t="s">
        <v>6</v>
      </c>
      <c r="J1" s="47" t="s">
        <v>7</v>
      </c>
      <c r="K1" s="46" t="s">
        <v>9</v>
      </c>
      <c r="L1" s="51" t="s">
        <v>361</v>
      </c>
      <c r="M1" s="51"/>
      <c r="N1" s="52"/>
    </row>
    <row r="2" spans="1:14" ht="15.75" x14ac:dyDescent="0.25">
      <c r="A2" s="39" t="str">
        <f>"ZPS-" &amp; RIGHT(TRIM(MID(K2, FIND("/",K2)+1, 10)),2) &amp; "-" &amp; TEXT(LEFT(K2, FIND("/",K2)-1), "0000")</f>
        <v>ZPS-23-0141</v>
      </c>
      <c r="B2" s="12">
        <v>1</v>
      </c>
      <c r="C2" s="50" t="s">
        <v>269</v>
      </c>
      <c r="D2" s="50" t="s">
        <v>270</v>
      </c>
      <c r="E2" s="50" t="s">
        <v>271</v>
      </c>
      <c r="F2" s="42" t="s">
        <v>11</v>
      </c>
      <c r="G2" s="42"/>
      <c r="H2" s="42"/>
      <c r="I2" s="42">
        <v>7488463394</v>
      </c>
      <c r="J2" s="42"/>
      <c r="K2" s="42" t="s">
        <v>12</v>
      </c>
      <c r="L2" s="42"/>
      <c r="M2" s="42"/>
      <c r="N2" s="2"/>
    </row>
    <row r="3" spans="1:14" s="1" customFormat="1" ht="15" customHeight="1" x14ac:dyDescent="0.25">
      <c r="A3" s="39" t="str">
        <f>"ZPS-" &amp; RIGHT(TRIM(MID(K3, FIND("/",K3)+1, 10)),2) &amp; "-" &amp; TEXT(LEFT(K3, FIND("/",K3)-1), "0000")</f>
        <v>ZPS-20-0962</v>
      </c>
      <c r="B3" s="12">
        <v>2</v>
      </c>
      <c r="C3" s="48" t="s">
        <v>272</v>
      </c>
      <c r="D3" s="48" t="s">
        <v>273</v>
      </c>
      <c r="E3" s="48" t="s">
        <v>274</v>
      </c>
      <c r="F3" s="4" t="s">
        <v>11</v>
      </c>
      <c r="G3" s="4" t="s">
        <v>17</v>
      </c>
      <c r="H3" s="4"/>
      <c r="I3" s="4">
        <v>7479892223</v>
      </c>
      <c r="J3" s="4"/>
      <c r="K3" s="4" t="s">
        <v>14</v>
      </c>
      <c r="L3" s="4"/>
      <c r="M3" s="4"/>
      <c r="N3" s="2"/>
    </row>
    <row r="4" spans="1:14" ht="15" customHeight="1" x14ac:dyDescent="0.25">
      <c r="A4" s="39" t="str">
        <f>"ZPS-" &amp; RIGHT(TRIM(MID(K4, FIND("/",K4)+1, 10)),2) &amp; "-" &amp; TEXT(LEFT(K4, FIND("/",K4)-1), "0000")</f>
        <v>ZPS-23-0193</v>
      </c>
      <c r="B4" s="12">
        <v>3</v>
      </c>
      <c r="C4" s="48" t="s">
        <v>275</v>
      </c>
      <c r="D4" s="48" t="s">
        <v>276</v>
      </c>
      <c r="E4" s="48" t="s">
        <v>277</v>
      </c>
      <c r="F4" s="4" t="s">
        <v>11</v>
      </c>
      <c r="G4" s="4" t="s">
        <v>18</v>
      </c>
      <c r="H4" s="4" t="s">
        <v>19</v>
      </c>
      <c r="I4" s="4">
        <v>7254820438</v>
      </c>
      <c r="J4" s="4"/>
      <c r="K4" s="4" t="s">
        <v>16</v>
      </c>
      <c r="L4" s="4"/>
      <c r="M4" s="4"/>
      <c r="N4" s="2"/>
    </row>
    <row r="5" spans="1:14" ht="15" customHeight="1" x14ac:dyDescent="0.25">
      <c r="A5" s="39" t="str">
        <f>"ZPS-" &amp; RIGHT(TRIM(MID(K5, FIND("/",K5)+1, 10)),2) &amp; "-" &amp; TEXT(LEFT(K5, FIND("/",K5)-1), "0000")</f>
        <v>ZPS-22-0171</v>
      </c>
      <c r="B5" s="12">
        <v>4</v>
      </c>
      <c r="C5" s="48" t="s">
        <v>278</v>
      </c>
      <c r="D5" s="48" t="s">
        <v>279</v>
      </c>
      <c r="E5" s="48" t="s">
        <v>280</v>
      </c>
      <c r="F5" s="4" t="s">
        <v>11</v>
      </c>
      <c r="G5" s="4" t="s">
        <v>21</v>
      </c>
      <c r="H5" s="4"/>
      <c r="I5" s="4">
        <v>9709578516</v>
      </c>
      <c r="J5" s="4"/>
      <c r="K5" s="4" t="s">
        <v>22</v>
      </c>
      <c r="L5" s="4"/>
      <c r="M5" s="4"/>
      <c r="N5" s="2"/>
    </row>
    <row r="6" spans="1:14" ht="15" customHeight="1" x14ac:dyDescent="0.25">
      <c r="A6" s="39" t="str">
        <f>"ZPS-" &amp; RIGHT(TRIM(MID(K6, FIND("/",K6)+1, 10)),2) &amp; "-" &amp; TEXT(LEFT(K6, FIND("/",K6)-1), "0000")</f>
        <v>ZPS-22-0258</v>
      </c>
      <c r="B6" s="12">
        <v>5</v>
      </c>
      <c r="C6" s="48" t="s">
        <v>281</v>
      </c>
      <c r="D6" s="48" t="s">
        <v>282</v>
      </c>
      <c r="E6" s="48" t="s">
        <v>283</v>
      </c>
      <c r="F6" s="4" t="s">
        <v>11</v>
      </c>
      <c r="G6" s="4" t="s">
        <v>24</v>
      </c>
      <c r="H6" s="4"/>
      <c r="I6" s="4">
        <v>6203488975</v>
      </c>
      <c r="J6" s="4"/>
      <c r="K6" s="4" t="s">
        <v>25</v>
      </c>
      <c r="L6" s="4"/>
      <c r="M6" s="4"/>
      <c r="N6" s="2"/>
    </row>
    <row r="7" spans="1:14" ht="15" customHeight="1" x14ac:dyDescent="0.25">
      <c r="A7" s="39" t="str">
        <f>"ZPS-" &amp; RIGHT(TRIM(MID(K7, FIND("/",K7)+1, 10)),2) &amp; "-" &amp; TEXT(LEFT(K7, FIND("/",K7)-1), "0000")</f>
        <v>ZPS-22-0010</v>
      </c>
      <c r="B7" s="12">
        <v>6</v>
      </c>
      <c r="C7" s="48" t="s">
        <v>284</v>
      </c>
      <c r="D7" s="48" t="s">
        <v>285</v>
      </c>
      <c r="E7" s="48" t="s">
        <v>286</v>
      </c>
      <c r="F7" s="4" t="s">
        <v>11</v>
      </c>
      <c r="G7" s="4" t="s">
        <v>27</v>
      </c>
      <c r="H7" s="4"/>
      <c r="I7" s="4">
        <v>7372097544</v>
      </c>
      <c r="J7" s="4"/>
      <c r="K7" s="4" t="s">
        <v>28</v>
      </c>
      <c r="L7" s="4"/>
      <c r="M7" s="4"/>
      <c r="N7" s="2"/>
    </row>
    <row r="8" spans="1:14" ht="15" customHeight="1" x14ac:dyDescent="0.25">
      <c r="A8" s="39" t="e">
        <f>"ZPS-" &amp; RIGHT(TRIM(MID(K8, FIND("/",K8)+1, 10)),2) &amp; "-" &amp; TEXT(LEFT(K8, FIND("/",K8)-1), "0000")</f>
        <v>#VALUE!</v>
      </c>
      <c r="B8" s="12">
        <v>7</v>
      </c>
      <c r="C8" s="48" t="s">
        <v>287</v>
      </c>
      <c r="D8" s="48" t="s">
        <v>288</v>
      </c>
      <c r="E8" s="48" t="s">
        <v>289</v>
      </c>
      <c r="F8" s="4" t="s">
        <v>11</v>
      </c>
      <c r="G8" s="4"/>
      <c r="H8" s="4"/>
      <c r="I8" s="4">
        <v>7258925521</v>
      </c>
      <c r="J8" s="4" t="s">
        <v>266</v>
      </c>
      <c r="K8" s="4"/>
      <c r="L8" s="4"/>
      <c r="M8" s="4"/>
      <c r="N8" s="2"/>
    </row>
    <row r="9" spans="1:14" ht="15" customHeight="1" x14ac:dyDescent="0.25">
      <c r="A9" s="39" t="e">
        <f>"ZPS-" &amp; RIGHT(TRIM(MID(K9, FIND("/",K9)+1, 10)),2) &amp; "-" &amp; TEXT(LEFT(K9, FIND("/",K9)-1), "0000")</f>
        <v>#VALUE!</v>
      </c>
      <c r="B9" s="12">
        <v>8</v>
      </c>
      <c r="C9" s="48" t="s">
        <v>290</v>
      </c>
      <c r="D9" s="48" t="s">
        <v>291</v>
      </c>
      <c r="E9" s="48" t="s">
        <v>292</v>
      </c>
      <c r="F9" s="4" t="s">
        <v>11</v>
      </c>
      <c r="G9" s="4" t="s">
        <v>31</v>
      </c>
      <c r="H9" s="4"/>
      <c r="I9" s="4">
        <v>7870079544</v>
      </c>
      <c r="J9" s="4"/>
      <c r="K9" s="4"/>
      <c r="L9" s="4"/>
      <c r="M9" s="4"/>
      <c r="N9" s="2"/>
    </row>
    <row r="10" spans="1:14" ht="15" customHeight="1" x14ac:dyDescent="0.25">
      <c r="A10" s="39" t="str">
        <f>"ZPS-" &amp; RIGHT(TRIM(MID(K10, FIND("/",K10)+1, 10)),2) &amp; "-" &amp; TEXT(LEFT(K10, FIND("/",K10)-1), "0000")</f>
        <v>ZPS-22-0195</v>
      </c>
      <c r="B10" s="12">
        <v>9</v>
      </c>
      <c r="C10" s="48" t="s">
        <v>293</v>
      </c>
      <c r="D10" s="48" t="s">
        <v>294</v>
      </c>
      <c r="E10" s="48" t="s">
        <v>295</v>
      </c>
      <c r="F10" s="4" t="s">
        <v>11</v>
      </c>
      <c r="G10" s="4"/>
      <c r="H10" s="4"/>
      <c r="I10" s="4">
        <v>8083534786</v>
      </c>
      <c r="J10" s="4" t="s">
        <v>265</v>
      </c>
      <c r="K10" s="4" t="s">
        <v>33</v>
      </c>
      <c r="L10" s="4"/>
      <c r="M10" s="4"/>
      <c r="N10" s="2"/>
    </row>
    <row r="11" spans="1:14" ht="15" customHeight="1" x14ac:dyDescent="0.25">
      <c r="A11" s="39" t="str">
        <f>"ZPS-" &amp; RIGHT(TRIM(MID(K11, FIND("/",K11)+1, 10)),2) &amp; "-" &amp; TEXT(LEFT(K11, FIND("/",K11)-1), "0000")</f>
        <v>ZPS-23-0128</v>
      </c>
      <c r="B11" s="12">
        <v>10</v>
      </c>
      <c r="C11" s="48" t="s">
        <v>296</v>
      </c>
      <c r="D11" s="48" t="s">
        <v>297</v>
      </c>
      <c r="E11" s="48" t="s">
        <v>298</v>
      </c>
      <c r="F11" s="4" t="s">
        <v>11</v>
      </c>
      <c r="G11" s="4"/>
      <c r="H11" s="4"/>
      <c r="I11" s="4">
        <v>7903065318</v>
      </c>
      <c r="J11" s="4"/>
      <c r="K11" s="4" t="s">
        <v>35</v>
      </c>
      <c r="L11" s="4"/>
      <c r="M11" s="4"/>
      <c r="N11" s="2"/>
    </row>
    <row r="12" spans="1:14" ht="15" customHeight="1" x14ac:dyDescent="0.25">
      <c r="A12" s="39" t="str">
        <f>"ZPS-" &amp; RIGHT(TRIM(MID(K12, FIND("/",K12)+1, 10)),2) &amp; "-" &amp; TEXT(LEFT(K12, FIND("/",K12)-1), "0000")</f>
        <v>ZPS-25-0014</v>
      </c>
      <c r="B12" s="12">
        <v>11</v>
      </c>
      <c r="C12" s="48" t="s">
        <v>299</v>
      </c>
      <c r="D12" s="48" t="s">
        <v>300</v>
      </c>
      <c r="E12" s="48" t="s">
        <v>301</v>
      </c>
      <c r="F12" s="4" t="s">
        <v>11</v>
      </c>
      <c r="G12" s="4" t="s">
        <v>38</v>
      </c>
      <c r="H12" s="4" t="s">
        <v>39</v>
      </c>
      <c r="I12" s="4">
        <v>7858955245</v>
      </c>
      <c r="J12" s="4"/>
      <c r="K12" s="4" t="s">
        <v>40</v>
      </c>
      <c r="L12" s="4"/>
      <c r="M12" s="4"/>
      <c r="N12" s="2"/>
    </row>
    <row r="13" spans="1:14" ht="15" customHeight="1" x14ac:dyDescent="0.25">
      <c r="A13" s="39" t="str">
        <f>"ZPS-" &amp; RIGHT(TRIM(MID(K13, FIND("/",K13)+1, 10)),2) &amp; "-" &amp; TEXT(LEFT(K13, FIND("/",K13)-1), "0000")</f>
        <v>ZPS-25-0104</v>
      </c>
      <c r="B13" s="12">
        <v>12</v>
      </c>
      <c r="C13" s="48" t="s">
        <v>302</v>
      </c>
      <c r="D13" s="48" t="s">
        <v>303</v>
      </c>
      <c r="E13" s="48" t="s">
        <v>304</v>
      </c>
      <c r="F13" s="4" t="s">
        <v>11</v>
      </c>
      <c r="G13" s="4"/>
      <c r="H13" s="4"/>
      <c r="I13" s="4">
        <v>9939611701</v>
      </c>
      <c r="J13" s="4"/>
      <c r="K13" s="4" t="s">
        <v>42</v>
      </c>
      <c r="L13" s="4"/>
      <c r="M13" s="4"/>
      <c r="N13" s="2"/>
    </row>
    <row r="14" spans="1:14" ht="15" customHeight="1" x14ac:dyDescent="0.25">
      <c r="A14" s="39" t="str">
        <f>"ZPS-" &amp; RIGHT(TRIM(MID(K14, FIND("/",K14)+1, 10)),2) &amp; "-" &amp; TEXT(LEFT(K14, FIND("/",K14)-1), "0000")</f>
        <v>ZPS-23-0254</v>
      </c>
      <c r="B14" s="12">
        <v>13</v>
      </c>
      <c r="C14" s="48" t="s">
        <v>305</v>
      </c>
      <c r="D14" s="48" t="s">
        <v>306</v>
      </c>
      <c r="E14" s="48" t="s">
        <v>307</v>
      </c>
      <c r="F14" s="4" t="s">
        <v>11</v>
      </c>
      <c r="G14" s="4"/>
      <c r="H14" s="4"/>
      <c r="I14" s="4">
        <v>9060702119</v>
      </c>
      <c r="J14" s="4"/>
      <c r="K14" s="4" t="s">
        <v>44</v>
      </c>
      <c r="L14" s="4"/>
      <c r="M14" s="4"/>
      <c r="N14" s="2"/>
    </row>
    <row r="15" spans="1:14" ht="15" customHeight="1" x14ac:dyDescent="0.25">
      <c r="A15" s="39" t="str">
        <f>"ZPS-" &amp; RIGHT(TRIM(MID(K15, FIND("/",K15)+1, 10)),2) &amp; "-" &amp; TEXT(LEFT(K15, FIND("/",K15)-1), "0000")</f>
        <v>ZPS-24-0018</v>
      </c>
      <c r="B15" s="12">
        <v>14</v>
      </c>
      <c r="C15" s="48" t="s">
        <v>308</v>
      </c>
      <c r="D15" s="48" t="s">
        <v>309</v>
      </c>
      <c r="E15" s="48" t="s">
        <v>310</v>
      </c>
      <c r="F15" s="4" t="s">
        <v>11</v>
      </c>
      <c r="G15" s="4" t="s">
        <v>46</v>
      </c>
      <c r="H15" s="4"/>
      <c r="I15" s="4">
        <v>7033025508</v>
      </c>
      <c r="J15" s="4"/>
      <c r="K15" s="4" t="s">
        <v>47</v>
      </c>
      <c r="L15" s="4"/>
      <c r="M15" s="4"/>
      <c r="N15" s="2"/>
    </row>
    <row r="16" spans="1:14" ht="15" customHeight="1" x14ac:dyDescent="0.25">
      <c r="A16" s="39" t="str">
        <f>"ZPS-" &amp; RIGHT(TRIM(MID(K16, FIND("/",K16)+1, 10)),2) &amp; "-" &amp; TEXT(LEFT(K16, FIND("/",K16)-1), "0000")</f>
        <v>ZPS-24-0054</v>
      </c>
      <c r="B16" s="12">
        <v>15</v>
      </c>
      <c r="C16" s="48" t="s">
        <v>311</v>
      </c>
      <c r="D16" s="48" t="s">
        <v>312</v>
      </c>
      <c r="E16" s="48" t="s">
        <v>313</v>
      </c>
      <c r="F16" s="4" t="s">
        <v>11</v>
      </c>
      <c r="G16" s="4" t="s">
        <v>49</v>
      </c>
      <c r="H16" s="4"/>
      <c r="I16" s="4">
        <v>8789805540</v>
      </c>
      <c r="J16" s="4"/>
      <c r="K16" s="4" t="s">
        <v>50</v>
      </c>
      <c r="L16" s="4"/>
      <c r="M16" s="4"/>
      <c r="N16" s="2"/>
    </row>
    <row r="17" spans="1:14" ht="15" customHeight="1" x14ac:dyDescent="0.25">
      <c r="A17" s="39" t="str">
        <f>"ZPS-" &amp; RIGHT(TRIM(MID(K17, FIND("/",K17)+1, 10)),2) &amp; "-" &amp; TEXT(LEFT(K17, FIND("/",K17)-1), "0000")</f>
        <v>ZPS-24-0073</v>
      </c>
      <c r="B17" s="12">
        <v>16</v>
      </c>
      <c r="C17" s="48" t="s">
        <v>314</v>
      </c>
      <c r="D17" s="48" t="s">
        <v>315</v>
      </c>
      <c r="E17" s="48" t="s">
        <v>316</v>
      </c>
      <c r="F17" s="4" t="s">
        <v>11</v>
      </c>
      <c r="G17" s="4"/>
      <c r="H17" s="4"/>
      <c r="I17" s="4">
        <v>7631969324</v>
      </c>
      <c r="J17" s="4"/>
      <c r="K17" s="4" t="s">
        <v>52</v>
      </c>
      <c r="L17" s="4"/>
      <c r="M17" s="4"/>
      <c r="N17" s="2"/>
    </row>
    <row r="18" spans="1:14" ht="15" customHeight="1" x14ac:dyDescent="0.25">
      <c r="A18" s="39" t="str">
        <f>"ZPS-" &amp; RIGHT(TRIM(MID(K18, FIND("/",K18)+1, 10)),2) &amp; "-" &amp; TEXT(LEFT(K18, FIND("/",K18)-1), "0000")</f>
        <v>ZPS-24-0082</v>
      </c>
      <c r="B18" s="12">
        <v>17</v>
      </c>
      <c r="C18" s="48" t="s">
        <v>317</v>
      </c>
      <c r="D18" s="48" t="s">
        <v>318</v>
      </c>
      <c r="E18" s="48" t="s">
        <v>277</v>
      </c>
      <c r="F18" s="4" t="s">
        <v>11</v>
      </c>
      <c r="G18" s="4"/>
      <c r="H18" s="4"/>
      <c r="I18" s="4">
        <v>6299842380</v>
      </c>
      <c r="J18" s="4"/>
      <c r="K18" s="4" t="s">
        <v>54</v>
      </c>
      <c r="L18" s="4"/>
      <c r="M18" s="4"/>
      <c r="N18" s="2"/>
    </row>
    <row r="19" spans="1:14" ht="15" customHeight="1" x14ac:dyDescent="0.25">
      <c r="A19" s="39" t="str">
        <f>"ZPS-" &amp; RIGHT(TRIM(MID(K19, FIND("/",K19)+1, 10)),2) &amp; "-" &amp; TEXT(LEFT(K19, FIND("/",K19)-1), "0000")</f>
        <v>ZPS-24-0084</v>
      </c>
      <c r="B19" s="12">
        <v>18</v>
      </c>
      <c r="C19" s="48" t="s">
        <v>319</v>
      </c>
      <c r="D19" s="48" t="s">
        <v>320</v>
      </c>
      <c r="E19" s="48" t="s">
        <v>321</v>
      </c>
      <c r="F19" s="4" t="s">
        <v>11</v>
      </c>
      <c r="G19" s="4"/>
      <c r="H19" s="4"/>
      <c r="I19" s="4">
        <v>9341742593</v>
      </c>
      <c r="J19" s="4"/>
      <c r="K19" s="4" t="s">
        <v>56</v>
      </c>
      <c r="L19" s="4"/>
      <c r="M19" s="4"/>
      <c r="N19" s="2"/>
    </row>
    <row r="20" spans="1:14" ht="15" customHeight="1" x14ac:dyDescent="0.25">
      <c r="A20" s="39" t="str">
        <f>"ZPS-" &amp; RIGHT(TRIM(MID(K20, FIND("/",K20)+1, 10)),2) &amp; "-" &amp; TEXT(LEFT(K20, FIND("/",K20)-1), "0000")</f>
        <v>ZPS-24-0133</v>
      </c>
      <c r="B20" s="12">
        <v>19</v>
      </c>
      <c r="C20" s="48" t="s">
        <v>322</v>
      </c>
      <c r="D20" s="48" t="s">
        <v>323</v>
      </c>
      <c r="E20" s="48" t="s">
        <v>324</v>
      </c>
      <c r="F20" s="4" t="s">
        <v>11</v>
      </c>
      <c r="G20" s="4" t="s">
        <v>58</v>
      </c>
      <c r="H20" s="4"/>
      <c r="I20" s="4">
        <v>8709073549</v>
      </c>
      <c r="J20" s="4"/>
      <c r="K20" s="4" t="s">
        <v>59</v>
      </c>
      <c r="L20" s="4"/>
      <c r="M20" s="4"/>
      <c r="N20" s="2"/>
    </row>
    <row r="21" spans="1:14" ht="15" customHeight="1" x14ac:dyDescent="0.25">
      <c r="A21" s="39" t="str">
        <f>"ZPS-" &amp; RIGHT(TRIM(MID(K21, FIND("/",K21)+1, 10)),2) &amp; "-" &amp; TEXT(LEFT(K21, FIND("/",K21)-1), "0000")</f>
        <v>ZPS-24-0144</v>
      </c>
      <c r="B21" s="12">
        <v>20</v>
      </c>
      <c r="C21" s="48" t="s">
        <v>325</v>
      </c>
      <c r="D21" s="48" t="s">
        <v>326</v>
      </c>
      <c r="E21" s="48" t="s">
        <v>327</v>
      </c>
      <c r="F21" s="4" t="s">
        <v>11</v>
      </c>
      <c r="G21" s="4"/>
      <c r="H21" s="4"/>
      <c r="I21" s="4">
        <v>9135748607</v>
      </c>
      <c r="J21" s="4"/>
      <c r="K21" s="4" t="s">
        <v>61</v>
      </c>
      <c r="L21" s="4"/>
      <c r="M21" s="4"/>
      <c r="N21" s="2"/>
    </row>
    <row r="22" spans="1:14" ht="15" customHeight="1" x14ac:dyDescent="0.25">
      <c r="A22" s="39" t="str">
        <f>"ZPS-" &amp; RIGHT(TRIM(MID(K22, FIND("/",K22)+1, 10)),2) &amp; "-" &amp; TEXT(LEFT(K22, FIND("/",K22)-1), "0000")</f>
        <v>ZPS-22-0306</v>
      </c>
      <c r="B22" s="12">
        <v>21</v>
      </c>
      <c r="C22" s="48" t="s">
        <v>328</v>
      </c>
      <c r="D22" s="48" t="s">
        <v>329</v>
      </c>
      <c r="E22" s="48" t="s">
        <v>330</v>
      </c>
      <c r="F22" s="4" t="s">
        <v>11</v>
      </c>
      <c r="G22" s="4" t="s">
        <v>63</v>
      </c>
      <c r="H22" s="4"/>
      <c r="I22" s="4">
        <v>6206514505</v>
      </c>
      <c r="J22" s="4"/>
      <c r="K22" s="4" t="s">
        <v>64</v>
      </c>
      <c r="L22" s="4"/>
      <c r="M22" s="4"/>
      <c r="N22" s="2"/>
    </row>
    <row r="23" spans="1:14" ht="15" customHeight="1" x14ac:dyDescent="0.25">
      <c r="A23" s="39" t="str">
        <f>"ZPS-" &amp; RIGHT(TRIM(MID(K23, FIND("/",K23)+1, 10)),2) &amp; "-" &amp; TEXT(LEFT(K23, FIND("/",K23)-1), "0000")</f>
        <v>ZPS-22-0176</v>
      </c>
      <c r="B23" s="12">
        <v>22</v>
      </c>
      <c r="C23" s="48" t="s">
        <v>331</v>
      </c>
      <c r="D23" s="48" t="s">
        <v>332</v>
      </c>
      <c r="E23" s="48" t="s">
        <v>333</v>
      </c>
      <c r="F23" s="4" t="s">
        <v>11</v>
      </c>
      <c r="G23" s="4" t="s">
        <v>66</v>
      </c>
      <c r="H23" s="4"/>
      <c r="I23" s="4" t="s">
        <v>67</v>
      </c>
      <c r="J23" s="4"/>
      <c r="K23" s="4" t="s">
        <v>68</v>
      </c>
      <c r="L23" s="4"/>
      <c r="M23" s="4"/>
      <c r="N23" s="2"/>
    </row>
    <row r="24" spans="1:14" ht="15" customHeight="1" x14ac:dyDescent="0.25">
      <c r="A24" s="39" t="str">
        <f>"ZPS-" &amp; RIGHT(TRIM(MID(K24, FIND("/",K24)+1, 10)),2) &amp; "-" &amp; TEXT(LEFT(K24, FIND("/",K24)-1), "0000")</f>
        <v>ZPS-23-0137</v>
      </c>
      <c r="B24" s="12">
        <v>23</v>
      </c>
      <c r="C24" s="48" t="s">
        <v>334</v>
      </c>
      <c r="D24" s="48" t="s">
        <v>335</v>
      </c>
      <c r="E24" s="48" t="s">
        <v>336</v>
      </c>
      <c r="F24" s="4" t="s">
        <v>11</v>
      </c>
      <c r="G24" s="4"/>
      <c r="H24" s="4"/>
      <c r="I24" s="4">
        <v>9709701492</v>
      </c>
      <c r="J24" s="4"/>
      <c r="K24" s="4" t="s">
        <v>70</v>
      </c>
      <c r="L24" s="4"/>
      <c r="M24" s="4"/>
      <c r="N24" s="2"/>
    </row>
    <row r="25" spans="1:14" ht="15" customHeight="1" x14ac:dyDescent="0.25">
      <c r="A25" s="39" t="str">
        <f>"ZPS-" &amp; RIGHT(TRIM(MID(K25, FIND("/",K25)+1, 10)),2) &amp; "-" &amp; TEXT(LEFT(K25, FIND("/",K25)-1), "0000")</f>
        <v>ZPS-24-0077</v>
      </c>
      <c r="B25" s="12">
        <v>24</v>
      </c>
      <c r="C25" s="48" t="s">
        <v>337</v>
      </c>
      <c r="D25" s="48" t="s">
        <v>338</v>
      </c>
      <c r="E25" s="48" t="s">
        <v>339</v>
      </c>
      <c r="F25" s="4" t="s">
        <v>11</v>
      </c>
      <c r="G25" s="4"/>
      <c r="H25" s="4"/>
      <c r="I25" s="4">
        <v>7304277020</v>
      </c>
      <c r="J25" s="4"/>
      <c r="K25" s="4" t="s">
        <v>72</v>
      </c>
      <c r="L25" s="4"/>
      <c r="M25" s="4"/>
      <c r="N25" s="2"/>
    </row>
    <row r="26" spans="1:14" ht="15" customHeight="1" x14ac:dyDescent="0.25">
      <c r="A26" s="39" t="str">
        <f>"ZPS-" &amp; RIGHT(TRIM(MID(K26, FIND("/",K26)+1, 10)),2) &amp; "-" &amp; TEXT(LEFT(K26, FIND("/",K26)-1), "0000")</f>
        <v>ZPS-24-0209</v>
      </c>
      <c r="B26" s="12">
        <v>25</v>
      </c>
      <c r="C26" s="48" t="s">
        <v>340</v>
      </c>
      <c r="D26" s="48" t="s">
        <v>341</v>
      </c>
      <c r="E26" s="48" t="s">
        <v>342</v>
      </c>
      <c r="F26" s="4" t="s">
        <v>11</v>
      </c>
      <c r="G26" s="4"/>
      <c r="H26" s="4"/>
      <c r="I26" s="4">
        <v>7779987957</v>
      </c>
      <c r="J26" s="4"/>
      <c r="K26" s="4" t="s">
        <v>74</v>
      </c>
      <c r="L26" s="4"/>
      <c r="M26" s="4"/>
      <c r="N26" s="2"/>
    </row>
    <row r="27" spans="1:14" ht="15" customHeight="1" x14ac:dyDescent="0.25">
      <c r="A27" s="39" t="e">
        <f>"ZPS-" &amp; RIGHT(TRIM(MID(K27, FIND("/",K27)+1, 10)),2) &amp; "-" &amp; TEXT(LEFT(K27, FIND("/",K27)-1), "0000")</f>
        <v>#VALUE!</v>
      </c>
      <c r="B27" s="12">
        <v>26</v>
      </c>
      <c r="C27" s="48" t="s">
        <v>343</v>
      </c>
      <c r="D27" s="48" t="s">
        <v>344</v>
      </c>
      <c r="E27" s="48" t="s">
        <v>345</v>
      </c>
      <c r="F27" s="4" t="s">
        <v>11</v>
      </c>
      <c r="G27" s="4"/>
      <c r="H27" s="4"/>
      <c r="I27" s="4">
        <v>9264253545</v>
      </c>
      <c r="J27" s="4"/>
      <c r="K27" s="4"/>
      <c r="L27" s="4"/>
      <c r="M27" s="4"/>
      <c r="N27" s="2"/>
    </row>
    <row r="28" spans="1:14" ht="15" customHeight="1" x14ac:dyDescent="0.25">
      <c r="A28" s="39" t="str">
        <f>"ZPS-" &amp; RIGHT(TRIM(MID(K28, FIND("/",K28)+1, 10)),2) &amp; "-" &amp; TEXT(LEFT(K28, FIND("/",K28)-1), "0000")</f>
        <v>ZPS-23-0123</v>
      </c>
      <c r="B28" s="12">
        <v>27</v>
      </c>
      <c r="C28" s="48" t="s">
        <v>346</v>
      </c>
      <c r="D28" s="48" t="s">
        <v>347</v>
      </c>
      <c r="E28" s="48" t="s">
        <v>348</v>
      </c>
      <c r="F28" s="4" t="s">
        <v>11</v>
      </c>
      <c r="G28" s="4" t="s">
        <v>77</v>
      </c>
      <c r="H28" s="4"/>
      <c r="I28" s="4">
        <v>8102121038</v>
      </c>
      <c r="J28" s="4"/>
      <c r="K28" s="4" t="s">
        <v>78</v>
      </c>
      <c r="L28" s="4"/>
      <c r="M28" s="4"/>
      <c r="N28" s="2"/>
    </row>
    <row r="29" spans="1:14" ht="15" customHeight="1" x14ac:dyDescent="0.25">
      <c r="A29" s="39" t="str">
        <f>"ZPS-" &amp; RIGHT(TRIM(MID(K29, FIND("/",K29)+1, 10)),2) &amp; "-" &amp; TEXT(LEFT(K29, FIND("/",K29)-1), "0000")</f>
        <v>ZPS-25-0202</v>
      </c>
      <c r="B29" s="12">
        <v>28</v>
      </c>
      <c r="C29" s="48" t="s">
        <v>349</v>
      </c>
      <c r="D29" s="48" t="s">
        <v>350</v>
      </c>
      <c r="E29" s="48" t="s">
        <v>351</v>
      </c>
      <c r="F29" s="4" t="s">
        <v>11</v>
      </c>
      <c r="G29" s="4" t="s">
        <v>80</v>
      </c>
      <c r="H29" s="4"/>
      <c r="I29" s="4">
        <v>6299202596</v>
      </c>
      <c r="J29" s="4"/>
      <c r="K29" s="4" t="s">
        <v>81</v>
      </c>
      <c r="L29" s="4"/>
      <c r="M29" s="4"/>
      <c r="N29" s="2"/>
    </row>
    <row r="30" spans="1:14" ht="15" customHeight="1" x14ac:dyDescent="0.25">
      <c r="A30" s="39" t="str">
        <f>"ZPS-" &amp; RIGHT(TRIM(MID(K30, FIND("/",K30)+1, 10)),2) &amp; "-" &amp; TEXT(LEFT(K30, FIND("/",K30)-1), "0000")</f>
        <v>ZPS-25-0209</v>
      </c>
      <c r="B30" s="12">
        <v>29</v>
      </c>
      <c r="C30" s="48" t="s">
        <v>352</v>
      </c>
      <c r="D30" s="48" t="s">
        <v>353</v>
      </c>
      <c r="E30" s="48" t="s">
        <v>354</v>
      </c>
      <c r="F30" s="4" t="s">
        <v>11</v>
      </c>
      <c r="G30" s="4" t="s">
        <v>83</v>
      </c>
      <c r="H30" s="4" t="s">
        <v>84</v>
      </c>
      <c r="I30" s="4">
        <v>9135624798</v>
      </c>
      <c r="J30" s="4"/>
      <c r="K30" s="4" t="s">
        <v>85</v>
      </c>
      <c r="L30" s="4"/>
      <c r="M30" s="4"/>
      <c r="N30" s="2"/>
    </row>
    <row r="31" spans="1:14" ht="15" customHeight="1" x14ac:dyDescent="0.25">
      <c r="A31" s="39" t="e">
        <f>"ZPS-" &amp; RIGHT(TRIM(MID(K31, FIND("/",K31)+1, 10)),2) &amp; "-" &amp; TEXT(LEFT(K31, FIND("/",K31)-1), "0000")</f>
        <v>#VALUE!</v>
      </c>
      <c r="B31" s="20">
        <v>30</v>
      </c>
      <c r="C31" s="49" t="s">
        <v>355</v>
      </c>
      <c r="D31" s="49" t="s">
        <v>356</v>
      </c>
      <c r="E31" s="49" t="s">
        <v>357</v>
      </c>
      <c r="F31" s="23" t="s">
        <v>11</v>
      </c>
      <c r="G31" s="23"/>
      <c r="H31" s="23"/>
      <c r="I31" s="23">
        <v>7979834788</v>
      </c>
      <c r="J31" s="23"/>
      <c r="K31" s="23"/>
      <c r="L31" s="23"/>
      <c r="M31" s="23"/>
      <c r="N31" s="21"/>
    </row>
    <row r="34" spans="1:9" ht="15" customHeight="1" x14ac:dyDescent="0.25">
      <c r="A34" s="10"/>
      <c r="E34"/>
      <c r="F34"/>
      <c r="I34"/>
    </row>
    <row r="35" spans="1:9" ht="15" customHeight="1" x14ac:dyDescent="0.25">
      <c r="A35" s="10"/>
      <c r="E35"/>
      <c r="F35"/>
      <c r="I35"/>
    </row>
    <row r="36" spans="1:9" ht="15" customHeight="1" x14ac:dyDescent="0.25">
      <c r="A36" s="10"/>
      <c r="E36"/>
      <c r="F36"/>
      <c r="I36"/>
    </row>
    <row r="37" spans="1:9" ht="15" customHeight="1" x14ac:dyDescent="0.25">
      <c r="A37" s="10"/>
      <c r="E37"/>
      <c r="F37"/>
      <c r="I37"/>
    </row>
    <row r="38" spans="1:9" ht="15" customHeight="1" x14ac:dyDescent="0.25">
      <c r="A38" s="10"/>
      <c r="E38"/>
      <c r="F38"/>
      <c r="I38"/>
    </row>
    <row r="39" spans="1:9" ht="15" customHeight="1" x14ac:dyDescent="0.25">
      <c r="A39" s="10"/>
      <c r="E39"/>
      <c r="F39"/>
      <c r="I39"/>
    </row>
    <row r="40" spans="1:9" ht="15" customHeight="1" x14ac:dyDescent="0.25">
      <c r="A40" s="10"/>
      <c r="E40"/>
      <c r="F40"/>
      <c r="I40"/>
    </row>
    <row r="41" spans="1:9" ht="15" customHeight="1" x14ac:dyDescent="0.25">
      <c r="A41" s="10"/>
      <c r="E41"/>
      <c r="F41"/>
      <c r="I41"/>
    </row>
    <row r="42" spans="1:9" ht="15" customHeight="1" x14ac:dyDescent="0.25">
      <c r="A42" s="10"/>
      <c r="E42"/>
      <c r="F42"/>
      <c r="I42"/>
    </row>
    <row r="43" spans="1:9" ht="15" customHeight="1" x14ac:dyDescent="0.25">
      <c r="A43" s="10"/>
      <c r="E43"/>
      <c r="F43"/>
      <c r="I43"/>
    </row>
    <row r="44" spans="1:9" ht="15" customHeight="1" x14ac:dyDescent="0.25">
      <c r="A44" s="10"/>
      <c r="E44"/>
      <c r="F44"/>
      <c r="I44"/>
    </row>
    <row r="45" spans="1:9" ht="15" customHeight="1" x14ac:dyDescent="0.25">
      <c r="A45" s="10"/>
      <c r="E45"/>
      <c r="F45"/>
      <c r="I45"/>
    </row>
    <row r="46" spans="1:9" ht="15" customHeight="1" x14ac:dyDescent="0.25">
      <c r="A46" s="10"/>
      <c r="E46"/>
      <c r="F46"/>
      <c r="I46"/>
    </row>
    <row r="47" spans="1:9" ht="15" customHeight="1" x14ac:dyDescent="0.25">
      <c r="A47" s="10"/>
      <c r="E47"/>
      <c r="F47"/>
      <c r="I47"/>
    </row>
    <row r="48" spans="1:9" ht="15" customHeight="1" x14ac:dyDescent="0.25">
      <c r="A48" s="10"/>
      <c r="E48"/>
      <c r="F48"/>
      <c r="I48"/>
    </row>
    <row r="49" spans="1:9" ht="15" customHeight="1" x14ac:dyDescent="0.25">
      <c r="A49" s="10"/>
      <c r="E49"/>
      <c r="F49"/>
      <c r="I49"/>
    </row>
    <row r="50" spans="1:9" ht="15" customHeight="1" x14ac:dyDescent="0.25">
      <c r="A50" s="10"/>
      <c r="E50"/>
      <c r="F50"/>
      <c r="I50"/>
    </row>
  </sheetData>
  <autoFilter ref="A1:A31" xr:uid="{F8CD157D-48BA-4DD0-8AA6-4E51ACF1C132}"/>
  <mergeCells count="1">
    <mergeCell ref="L1:N1"/>
  </mergeCells>
  <phoneticPr fontId="6" type="noConversion"/>
  <pageMargins left="0.7" right="0.7" top="0.75" bottom="0.75" header="0.3" footer="0.3"/>
  <pageSetup scale="90" fitToHeight="0" orientation="landscape" r:id="rId1"/>
  <rowBreaks count="3" manualBreakCount="3">
    <brk id="13" max="16383" man="1"/>
    <brk id="23" max="16383" man="1"/>
    <brk id="33" max="16383" man="1"/>
  </rowBreaks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154CE-A9F7-47EC-9D70-EC3C711E4B16}">
  <sheetPr>
    <pageSetUpPr fitToPage="1"/>
  </sheetPr>
  <dimension ref="A1:N33"/>
  <sheetViews>
    <sheetView tabSelected="1" zoomScale="115" zoomScaleNormal="115" workbookViewId="0">
      <selection activeCell="D5" sqref="D5"/>
    </sheetView>
  </sheetViews>
  <sheetFormatPr defaultRowHeight="15" x14ac:dyDescent="0.25"/>
  <cols>
    <col min="1" max="1" width="15.28515625" bestFit="1" customWidth="1"/>
    <col min="2" max="2" width="13.140625" bestFit="1" customWidth="1"/>
    <col min="3" max="3" width="24.7109375" style="6" customWidth="1"/>
    <col min="4" max="4" width="31" bestFit="1" customWidth="1"/>
    <col min="5" max="5" width="22.5703125" style="55" bestFit="1" customWidth="1"/>
    <col min="6" max="6" width="22.5703125" bestFit="1" customWidth="1"/>
    <col min="7" max="7" width="16.28515625" customWidth="1"/>
    <col min="8" max="8" width="23.7109375" customWidth="1"/>
    <col min="9" max="9" width="26.140625" style="5" bestFit="1" customWidth="1"/>
    <col min="10" max="10" width="22.85546875" customWidth="1"/>
    <col min="11" max="11" width="26.140625" bestFit="1" customWidth="1"/>
    <col min="12" max="12" width="26.5703125" bestFit="1" customWidth="1"/>
    <col min="13" max="13" width="21.42578125" bestFit="1" customWidth="1"/>
    <col min="14" max="14" width="15.28515625" bestFit="1" customWidth="1"/>
  </cols>
  <sheetData>
    <row r="1" spans="1:14" ht="15.75" x14ac:dyDescent="0.25">
      <c r="A1" s="69" t="s">
        <v>264</v>
      </c>
      <c r="B1" s="70" t="s">
        <v>1</v>
      </c>
      <c r="C1" s="71" t="s">
        <v>358</v>
      </c>
      <c r="D1" s="72" t="s">
        <v>359</v>
      </c>
      <c r="E1" s="77" t="s">
        <v>360</v>
      </c>
      <c r="F1" s="73" t="s">
        <v>37</v>
      </c>
      <c r="G1" s="74" t="s">
        <v>4</v>
      </c>
      <c r="H1" s="74" t="s">
        <v>5</v>
      </c>
      <c r="I1" s="75" t="s">
        <v>6</v>
      </c>
      <c r="J1" s="75" t="s">
        <v>7</v>
      </c>
      <c r="K1" s="76" t="s">
        <v>9</v>
      </c>
      <c r="L1" s="43" t="s">
        <v>267</v>
      </c>
      <c r="M1" s="16"/>
      <c r="N1" s="45" t="s">
        <v>268</v>
      </c>
    </row>
    <row r="2" spans="1:14" ht="15.75" x14ac:dyDescent="0.25">
      <c r="A2" s="40" t="str">
        <f>"ZPS-" &amp; RIGHT(TRIM(MID(K2, FIND("/",K2)+1, 10)),2) &amp; "-" &amp; TEXT(LEFT(K2, FIND("/",K2)-1), "0000")</f>
        <v>ZPS-23-0146</v>
      </c>
      <c r="B2" s="56">
        <v>1</v>
      </c>
      <c r="C2" s="57" t="s">
        <v>362</v>
      </c>
      <c r="D2" s="58" t="s">
        <v>329</v>
      </c>
      <c r="E2" s="78" t="s">
        <v>363</v>
      </c>
      <c r="F2" s="59" t="s">
        <v>90</v>
      </c>
      <c r="G2" s="57"/>
      <c r="H2" s="57" t="s">
        <v>91</v>
      </c>
      <c r="I2" s="59">
        <v>7903225931</v>
      </c>
      <c r="J2" s="54"/>
      <c r="K2" s="67" t="s">
        <v>92</v>
      </c>
      <c r="L2" s="41"/>
      <c r="M2" s="3"/>
      <c r="N2" s="53"/>
    </row>
    <row r="3" spans="1:14" ht="15" customHeight="1" x14ac:dyDescent="0.25">
      <c r="A3" s="40" t="str">
        <f>"ZPS-" &amp; RIGHT(TRIM(MID(K3, FIND("/",K3)+1, 10)),2) &amp; "-" &amp; TEXT(LEFT(K3, FIND("/",K3)-1), "0000")</f>
        <v>ZPS-23-0179</v>
      </c>
      <c r="B3" s="56">
        <v>2</v>
      </c>
      <c r="C3" s="60" t="s">
        <v>364</v>
      </c>
      <c r="D3" s="61" t="s">
        <v>365</v>
      </c>
      <c r="E3" s="61" t="s">
        <v>366</v>
      </c>
      <c r="F3" s="24" t="s">
        <v>90</v>
      </c>
      <c r="G3" s="60"/>
      <c r="H3" s="60"/>
      <c r="I3" s="24">
        <v>9117447194</v>
      </c>
      <c r="J3" s="54"/>
      <c r="K3" s="67" t="s">
        <v>94</v>
      </c>
      <c r="L3" s="3"/>
      <c r="M3" s="3"/>
      <c r="N3" s="53"/>
    </row>
    <row r="4" spans="1:14" ht="15" customHeight="1" x14ac:dyDescent="0.25">
      <c r="A4" s="40" t="str">
        <f>"ZPS-" &amp; RIGHT(TRIM(MID(K4, FIND("/",K4)+1, 10)),2) &amp; "-" &amp; TEXT(LEFT(K4, FIND("/",K4)-1), "0000")</f>
        <v>ZPS-22-0015</v>
      </c>
      <c r="B4" s="56">
        <v>3</v>
      </c>
      <c r="C4" s="60" t="s">
        <v>367</v>
      </c>
      <c r="D4" s="61" t="s">
        <v>368</v>
      </c>
      <c r="E4" s="61" t="s">
        <v>351</v>
      </c>
      <c r="F4" s="24" t="s">
        <v>90</v>
      </c>
      <c r="G4" s="60"/>
      <c r="H4" s="60"/>
      <c r="I4" s="24">
        <v>9304167100</v>
      </c>
      <c r="J4" s="54"/>
      <c r="K4" s="67" t="s">
        <v>96</v>
      </c>
      <c r="L4" s="3"/>
      <c r="M4" s="3"/>
      <c r="N4" s="53"/>
    </row>
    <row r="5" spans="1:14" ht="15" customHeight="1" x14ac:dyDescent="0.25">
      <c r="A5" s="40" t="e">
        <f>"ZPS-" &amp; RIGHT(TRIM(MID(K5, FIND("/",K5)+1, 10)),2) &amp; "-" &amp; TEXT(LEFT(K5, FIND("/",K5)-1), "0000")</f>
        <v>#VALUE!</v>
      </c>
      <c r="B5" s="56">
        <v>4</v>
      </c>
      <c r="C5" s="60" t="s">
        <v>369</v>
      </c>
      <c r="D5" s="61" t="s">
        <v>370</v>
      </c>
      <c r="E5" s="61" t="s">
        <v>371</v>
      </c>
      <c r="F5" s="24" t="s">
        <v>90</v>
      </c>
      <c r="G5" s="60"/>
      <c r="H5" s="60"/>
      <c r="I5" s="24">
        <v>9128468325</v>
      </c>
      <c r="J5" s="54"/>
      <c r="K5" s="67"/>
      <c r="L5" s="3"/>
      <c r="M5" s="3"/>
      <c r="N5" s="53"/>
    </row>
    <row r="6" spans="1:14" ht="15" customHeight="1" x14ac:dyDescent="0.25">
      <c r="A6" s="40" t="str">
        <f>"ZPS-" &amp; RIGHT(TRIM(MID(K6, FIND("/",K6)+1, 10)),2) &amp; "-" &amp; TEXT(LEFT(K6, FIND("/",K6)-1), "0000")</f>
        <v>ZPS-24-0081</v>
      </c>
      <c r="B6" s="56">
        <v>5</v>
      </c>
      <c r="C6" s="60" t="s">
        <v>372</v>
      </c>
      <c r="D6" s="61" t="s">
        <v>373</v>
      </c>
      <c r="E6" s="61" t="s">
        <v>374</v>
      </c>
      <c r="F6" s="24" t="s">
        <v>90</v>
      </c>
      <c r="G6" s="60" t="s">
        <v>98</v>
      </c>
      <c r="H6" s="60"/>
      <c r="I6" s="24">
        <v>7564038142</v>
      </c>
      <c r="J6" s="54"/>
      <c r="K6" s="67" t="s">
        <v>99</v>
      </c>
      <c r="L6" s="3"/>
      <c r="M6" s="3"/>
      <c r="N6" s="53"/>
    </row>
    <row r="7" spans="1:14" ht="15" customHeight="1" x14ac:dyDescent="0.25">
      <c r="A7" s="40" t="str">
        <f>"ZPS-" &amp; RIGHT(TRIM(MID(K7, FIND("/",K7)+1, 10)),2) &amp; "-" &amp; TEXT(LEFT(K7, FIND("/",K7)-1), "0000")</f>
        <v>ZPS-24-0126</v>
      </c>
      <c r="B7" s="56">
        <v>6</v>
      </c>
      <c r="C7" s="60" t="s">
        <v>375</v>
      </c>
      <c r="D7" s="61" t="s">
        <v>376</v>
      </c>
      <c r="E7" s="61" t="s">
        <v>377</v>
      </c>
      <c r="F7" s="24" t="s">
        <v>90</v>
      </c>
      <c r="G7" s="60" t="s">
        <v>101</v>
      </c>
      <c r="H7" s="60"/>
      <c r="I7" s="24" t="s">
        <v>102</v>
      </c>
      <c r="J7" s="54"/>
      <c r="K7" s="67" t="s">
        <v>103</v>
      </c>
      <c r="L7" s="3"/>
      <c r="M7" s="3"/>
      <c r="N7" s="53"/>
    </row>
    <row r="8" spans="1:14" ht="15" customHeight="1" x14ac:dyDescent="0.25">
      <c r="A8" s="40" t="str">
        <f>"ZPS-" &amp; RIGHT(TRIM(MID(K8, FIND("/",K8)+1, 10)),2) &amp; "-" &amp; TEXT(LEFT(K8, FIND("/",K8)-1), "0000")</f>
        <v>ZPS-23-0151</v>
      </c>
      <c r="B8" s="56">
        <v>7</v>
      </c>
      <c r="C8" s="60" t="s">
        <v>378</v>
      </c>
      <c r="D8" s="61" t="s">
        <v>379</v>
      </c>
      <c r="E8" s="61" t="s">
        <v>380</v>
      </c>
      <c r="F8" s="24" t="s">
        <v>90</v>
      </c>
      <c r="G8" s="60" t="s">
        <v>105</v>
      </c>
      <c r="H8" s="60"/>
      <c r="I8" s="24">
        <v>9835485552</v>
      </c>
      <c r="J8" s="54"/>
      <c r="K8" s="67" t="s">
        <v>106</v>
      </c>
      <c r="L8" s="3"/>
      <c r="M8" s="3"/>
      <c r="N8" s="53"/>
    </row>
    <row r="9" spans="1:14" ht="15" customHeight="1" x14ac:dyDescent="0.25">
      <c r="A9" s="40" t="str">
        <f>"ZPS-" &amp; RIGHT(TRIM(MID(K9, FIND("/",K9)+1, 10)),2) &amp; "-" &amp; TEXT(LEFT(K9, FIND("/",K9)-1), "0000")</f>
        <v>ZPS-24-0013</v>
      </c>
      <c r="B9" s="56">
        <v>8</v>
      </c>
      <c r="C9" s="60" t="s">
        <v>381</v>
      </c>
      <c r="D9" s="61" t="s">
        <v>382</v>
      </c>
      <c r="E9" s="61" t="s">
        <v>383</v>
      </c>
      <c r="F9" s="24" t="s">
        <v>90</v>
      </c>
      <c r="G9" s="60" t="s">
        <v>109</v>
      </c>
      <c r="H9" s="60"/>
      <c r="I9" s="24">
        <v>9123291388</v>
      </c>
      <c r="J9" s="54"/>
      <c r="K9" s="67" t="s">
        <v>110</v>
      </c>
      <c r="L9" s="3"/>
      <c r="M9" s="3"/>
      <c r="N9" s="53"/>
    </row>
    <row r="10" spans="1:14" ht="15" customHeight="1" x14ac:dyDescent="0.25">
      <c r="A10" s="40" t="str">
        <f>"ZPS-" &amp; RIGHT(TRIM(MID(K10, FIND("/",K10)+1, 10)),2) &amp; "-" &amp; TEXT(LEFT(K10, FIND("/",K10)-1), "0000")</f>
        <v>ZPS-24-0184</v>
      </c>
      <c r="B10" s="56">
        <v>9</v>
      </c>
      <c r="C10" s="60" t="s">
        <v>384</v>
      </c>
      <c r="D10" s="61" t="s">
        <v>385</v>
      </c>
      <c r="E10" s="61" t="s">
        <v>386</v>
      </c>
      <c r="F10" s="24" t="s">
        <v>90</v>
      </c>
      <c r="G10" s="60" t="s">
        <v>112</v>
      </c>
      <c r="H10" s="60"/>
      <c r="I10" s="24">
        <v>8969634779</v>
      </c>
      <c r="J10" s="54"/>
      <c r="K10" s="67" t="s">
        <v>113</v>
      </c>
      <c r="L10" s="3"/>
      <c r="M10" s="3"/>
      <c r="N10" s="53"/>
    </row>
    <row r="11" spans="1:14" ht="15" customHeight="1" x14ac:dyDescent="0.25">
      <c r="A11" s="40" t="str">
        <f>"ZPS-" &amp; RIGHT(TRIM(MID(K11, FIND("/",K11)+1, 10)),2) &amp; "-" &amp; TEXT(LEFT(K11, FIND("/",K11)-1), "0000")</f>
        <v>ZPS-25-0001</v>
      </c>
      <c r="B11" s="56">
        <v>10</v>
      </c>
      <c r="C11" s="60" t="s">
        <v>387</v>
      </c>
      <c r="D11" s="61" t="s">
        <v>388</v>
      </c>
      <c r="E11" s="61" t="s">
        <v>389</v>
      </c>
      <c r="F11" s="24" t="s">
        <v>90</v>
      </c>
      <c r="G11" s="60" t="s">
        <v>115</v>
      </c>
      <c r="H11" s="60"/>
      <c r="I11" s="24">
        <v>9241538905</v>
      </c>
      <c r="J11" s="54"/>
      <c r="K11" s="67" t="s">
        <v>114</v>
      </c>
      <c r="L11" s="3"/>
      <c r="M11" s="3"/>
      <c r="N11" s="53"/>
    </row>
    <row r="12" spans="1:14" ht="15" customHeight="1" x14ac:dyDescent="0.25">
      <c r="A12" s="40" t="e">
        <f>"ZPS-" &amp; RIGHT(TRIM(MID(K12, FIND("/",K12)+1, 10)),2) &amp; "-" &amp; TEXT(LEFT(K12, FIND("/",K12)-1), "0000")</f>
        <v>#VALUE!</v>
      </c>
      <c r="B12" s="56">
        <v>11</v>
      </c>
      <c r="C12" s="60" t="s">
        <v>390</v>
      </c>
      <c r="D12" s="61" t="s">
        <v>391</v>
      </c>
      <c r="E12" s="61" t="s">
        <v>392</v>
      </c>
      <c r="F12" s="24" t="s">
        <v>90</v>
      </c>
      <c r="G12" s="60" t="s">
        <v>118</v>
      </c>
      <c r="H12" s="60"/>
      <c r="I12" s="24">
        <v>8521434355</v>
      </c>
      <c r="J12" s="54"/>
      <c r="K12" s="67"/>
      <c r="L12" s="3"/>
      <c r="M12" s="3"/>
      <c r="N12" s="53"/>
    </row>
    <row r="13" spans="1:14" ht="15" customHeight="1" x14ac:dyDescent="0.25">
      <c r="A13" s="40" t="str">
        <f>"ZPS-" &amp; RIGHT(TRIM(MID(K13, FIND("/",K13)+1, 10)),2) &amp; "-" &amp; TEXT(LEFT(K13, FIND("/",K13)-1), "0000")</f>
        <v>ZPS-23-0124</v>
      </c>
      <c r="B13" s="56">
        <v>12</v>
      </c>
      <c r="C13" s="60" t="s">
        <v>393</v>
      </c>
      <c r="D13" s="61" t="s">
        <v>394</v>
      </c>
      <c r="E13" s="61" t="s">
        <v>348</v>
      </c>
      <c r="F13" s="24" t="s">
        <v>90</v>
      </c>
      <c r="G13" s="60" t="s">
        <v>120</v>
      </c>
      <c r="H13" s="60"/>
      <c r="I13" s="24">
        <v>8102121038</v>
      </c>
      <c r="J13" s="54"/>
      <c r="K13" s="67" t="s">
        <v>119</v>
      </c>
      <c r="L13" s="3"/>
      <c r="M13" s="3"/>
      <c r="N13" s="53"/>
    </row>
    <row r="14" spans="1:14" ht="15" customHeight="1" x14ac:dyDescent="0.25">
      <c r="A14" s="40" t="str">
        <f>"ZPS-" &amp; RIGHT(TRIM(MID(K14, FIND("/",K14)+1, 10)),2) &amp; "-" &amp; TEXT(LEFT(K14, FIND("/",K14)-1), "0000")</f>
        <v>ZPS-25-0008</v>
      </c>
      <c r="B14" s="56">
        <v>13</v>
      </c>
      <c r="C14" s="60" t="s">
        <v>395</v>
      </c>
      <c r="D14" s="61" t="s">
        <v>396</v>
      </c>
      <c r="E14" s="61" t="s">
        <v>397</v>
      </c>
      <c r="F14" s="24" t="s">
        <v>90</v>
      </c>
      <c r="G14" s="60" t="s">
        <v>123</v>
      </c>
      <c r="H14" s="60"/>
      <c r="I14" s="24" t="s">
        <v>124</v>
      </c>
      <c r="J14" s="54"/>
      <c r="K14" s="67" t="s">
        <v>125</v>
      </c>
      <c r="L14" s="3"/>
      <c r="M14" s="3"/>
      <c r="N14" s="53"/>
    </row>
    <row r="15" spans="1:14" ht="15" customHeight="1" x14ac:dyDescent="0.25">
      <c r="A15" s="40" t="str">
        <f>"ZPS-" &amp; RIGHT(TRIM(MID(K15, FIND("/",K15)+1, 10)),2) &amp; "-" &amp; TEXT(LEFT(K15, FIND("/",K15)-1), "0000")</f>
        <v>ZPS-25-0039</v>
      </c>
      <c r="B15" s="56">
        <v>14</v>
      </c>
      <c r="C15" s="60" t="s">
        <v>398</v>
      </c>
      <c r="D15" s="61" t="s">
        <v>399</v>
      </c>
      <c r="E15" s="61" t="s">
        <v>400</v>
      </c>
      <c r="F15" s="24" t="s">
        <v>90</v>
      </c>
      <c r="G15" s="60"/>
      <c r="H15" s="60"/>
      <c r="I15" s="24" t="s">
        <v>127</v>
      </c>
      <c r="J15" s="54"/>
      <c r="K15" s="67" t="s">
        <v>128</v>
      </c>
      <c r="L15" s="3"/>
      <c r="M15" s="3"/>
      <c r="N15" s="53"/>
    </row>
    <row r="16" spans="1:14" ht="15" customHeight="1" x14ac:dyDescent="0.25">
      <c r="A16" s="40" t="str">
        <f>"ZPS-" &amp; RIGHT(TRIM(MID(K16, FIND("/",K16)+1, 10)),2) &amp; "-" &amp; TEXT(LEFT(K16, FIND("/",K16)-1), "0000")</f>
        <v>ZPS-25-0048</v>
      </c>
      <c r="B16" s="56">
        <v>15</v>
      </c>
      <c r="C16" s="60" t="s">
        <v>401</v>
      </c>
      <c r="D16" s="61" t="s">
        <v>402</v>
      </c>
      <c r="E16" s="61" t="s">
        <v>403</v>
      </c>
      <c r="F16" s="24" t="s">
        <v>90</v>
      </c>
      <c r="G16" s="60" t="s">
        <v>130</v>
      </c>
      <c r="H16" s="60" t="s">
        <v>131</v>
      </c>
      <c r="I16" s="24">
        <v>8092109739</v>
      </c>
      <c r="J16" s="54"/>
      <c r="K16" s="67" t="s">
        <v>132</v>
      </c>
      <c r="L16" s="3"/>
      <c r="M16" s="3"/>
      <c r="N16" s="53"/>
    </row>
    <row r="17" spans="1:14" ht="15" customHeight="1" x14ac:dyDescent="0.25">
      <c r="A17" s="40" t="str">
        <f>"ZPS-" &amp; RIGHT(TRIM(MID(K17, FIND("/",K17)+1, 10)),2) &amp; "-" &amp; TEXT(LEFT(K17, FIND("/",K17)-1), "0000")</f>
        <v>ZPS-25-0053</v>
      </c>
      <c r="B17" s="56">
        <v>16</v>
      </c>
      <c r="C17" s="60" t="s">
        <v>404</v>
      </c>
      <c r="D17" s="61" t="s">
        <v>405</v>
      </c>
      <c r="E17" s="61" t="s">
        <v>406</v>
      </c>
      <c r="F17" s="24" t="s">
        <v>90</v>
      </c>
      <c r="G17" s="60" t="s">
        <v>134</v>
      </c>
      <c r="H17" s="60" t="s">
        <v>135</v>
      </c>
      <c r="I17" s="24">
        <v>8368485590</v>
      </c>
      <c r="J17" s="54"/>
      <c r="K17" s="67" t="s">
        <v>136</v>
      </c>
      <c r="L17" s="3"/>
      <c r="M17" s="3"/>
      <c r="N17" s="53"/>
    </row>
    <row r="18" spans="1:14" ht="15" customHeight="1" x14ac:dyDescent="0.25">
      <c r="A18" s="40" t="str">
        <f>"ZPS-" &amp; RIGHT(TRIM(MID(K18, FIND("/",K18)+1, 10)),2) &amp; "-" &amp; TEXT(LEFT(K18, FIND("/",K18)-1), "0000")</f>
        <v>ZPS-25-0061</v>
      </c>
      <c r="B18" s="56">
        <v>17</v>
      </c>
      <c r="C18" s="60" t="s">
        <v>407</v>
      </c>
      <c r="D18" s="61" t="s">
        <v>408</v>
      </c>
      <c r="E18" s="61" t="s">
        <v>409</v>
      </c>
      <c r="F18" s="24" t="s">
        <v>90</v>
      </c>
      <c r="G18" s="60" t="s">
        <v>138</v>
      </c>
      <c r="H18" s="60"/>
      <c r="I18" s="24">
        <v>9341422787</v>
      </c>
      <c r="J18" s="54"/>
      <c r="K18" s="67" t="s">
        <v>139</v>
      </c>
      <c r="L18" s="3"/>
      <c r="M18" s="3"/>
      <c r="N18" s="53"/>
    </row>
    <row r="19" spans="1:14" ht="15" customHeight="1" x14ac:dyDescent="0.25">
      <c r="A19" s="40" t="str">
        <f>"ZPS-" &amp; RIGHT(TRIM(MID(K19, FIND("/",K19)+1, 10)),2) &amp; "-" &amp; TEXT(LEFT(K19, FIND("/",K19)-1), "0000")</f>
        <v>ZPS-25-0092</v>
      </c>
      <c r="B19" s="56">
        <v>18</v>
      </c>
      <c r="C19" s="60" t="s">
        <v>410</v>
      </c>
      <c r="D19" s="61" t="s">
        <v>326</v>
      </c>
      <c r="E19" s="61" t="s">
        <v>283</v>
      </c>
      <c r="F19" s="24" t="s">
        <v>90</v>
      </c>
      <c r="G19" s="60" t="s">
        <v>141</v>
      </c>
      <c r="H19" s="60"/>
      <c r="I19" s="24">
        <v>6203488975</v>
      </c>
      <c r="J19" s="54"/>
      <c r="K19" s="67" t="s">
        <v>142</v>
      </c>
      <c r="L19" s="3"/>
      <c r="M19" s="3"/>
      <c r="N19" s="53"/>
    </row>
    <row r="20" spans="1:14" ht="15" customHeight="1" x14ac:dyDescent="0.25">
      <c r="A20" s="40" t="str">
        <f>"ZPS-" &amp; RIGHT(TRIM(MID(K20, FIND("/",K20)+1, 10)),2) &amp; "-" &amp; TEXT(LEFT(K20, FIND("/",K20)-1), "0000")</f>
        <v>ZPS-25-0140</v>
      </c>
      <c r="B20" s="56">
        <v>19</v>
      </c>
      <c r="C20" s="60" t="s">
        <v>411</v>
      </c>
      <c r="D20" s="61" t="s">
        <v>412</v>
      </c>
      <c r="E20" s="61" t="s">
        <v>413</v>
      </c>
      <c r="F20" s="24" t="s">
        <v>90</v>
      </c>
      <c r="G20" s="60" t="s">
        <v>144</v>
      </c>
      <c r="H20" s="60"/>
      <c r="I20" s="24">
        <v>9661335235</v>
      </c>
      <c r="J20" s="54"/>
      <c r="K20" s="67" t="s">
        <v>145</v>
      </c>
      <c r="L20" s="3"/>
      <c r="M20" s="3"/>
      <c r="N20" s="53"/>
    </row>
    <row r="21" spans="1:14" ht="15" customHeight="1" x14ac:dyDescent="0.25">
      <c r="A21" s="40" t="str">
        <f>"ZPS-" &amp; RIGHT(TRIM(MID(K21, FIND("/",K21)+1, 10)),2) &amp; "-" &amp; TEXT(LEFT(K21, FIND("/",K21)-1), "0000")</f>
        <v>ZPS-25-0155</v>
      </c>
      <c r="B21" s="56">
        <v>20</v>
      </c>
      <c r="C21" s="60" t="s">
        <v>414</v>
      </c>
      <c r="D21" s="61" t="s">
        <v>415</v>
      </c>
      <c r="E21" s="61" t="s">
        <v>416</v>
      </c>
      <c r="F21" s="24" t="s">
        <v>90</v>
      </c>
      <c r="G21" s="60" t="s">
        <v>147</v>
      </c>
      <c r="H21" s="60"/>
      <c r="I21" s="24">
        <v>9835879726</v>
      </c>
      <c r="J21" s="54"/>
      <c r="K21" s="67" t="s">
        <v>148</v>
      </c>
      <c r="L21" s="3"/>
      <c r="M21" s="3"/>
      <c r="N21" s="53"/>
    </row>
    <row r="22" spans="1:14" ht="15" customHeight="1" x14ac:dyDescent="0.25">
      <c r="A22" s="40" t="str">
        <f>"ZPS-" &amp; RIGHT(TRIM(MID(K22, FIND("/",K22)+1, 10)),2) &amp; "-" &amp; TEXT(LEFT(K22, FIND("/",K22)-1), "0000")</f>
        <v>ZPS-25-0165</v>
      </c>
      <c r="B22" s="56">
        <v>21</v>
      </c>
      <c r="C22" s="60" t="s">
        <v>364</v>
      </c>
      <c r="D22" s="61" t="s">
        <v>417</v>
      </c>
      <c r="E22" s="61" t="s">
        <v>418</v>
      </c>
      <c r="F22" s="24" t="s">
        <v>90</v>
      </c>
      <c r="G22" s="60" t="s">
        <v>150</v>
      </c>
      <c r="H22" s="60" t="s">
        <v>152</v>
      </c>
      <c r="I22" s="24">
        <v>9263871404</v>
      </c>
      <c r="J22" s="54"/>
      <c r="K22" s="67" t="s">
        <v>151</v>
      </c>
      <c r="L22" s="3"/>
      <c r="M22" s="3"/>
      <c r="N22" s="53"/>
    </row>
    <row r="23" spans="1:14" ht="15" customHeight="1" x14ac:dyDescent="0.25">
      <c r="A23" s="40" t="str">
        <f>"ZPS-" &amp; RIGHT(TRIM(MID(K23, FIND("/",K23)+1, 10)),2) &amp; "-" &amp; TEXT(LEFT(K23, FIND("/",K23)-1), "0000")</f>
        <v>ZPS-25-0179</v>
      </c>
      <c r="B23" s="56">
        <v>22</v>
      </c>
      <c r="C23" s="60" t="s">
        <v>419</v>
      </c>
      <c r="D23" s="61" t="s">
        <v>420</v>
      </c>
      <c r="E23" s="61" t="s">
        <v>421</v>
      </c>
      <c r="F23" s="24" t="s">
        <v>90</v>
      </c>
      <c r="G23" s="60"/>
      <c r="H23" s="60"/>
      <c r="I23" s="24">
        <v>9155196778</v>
      </c>
      <c r="J23" s="54"/>
      <c r="K23" s="67" t="s">
        <v>154</v>
      </c>
      <c r="L23" s="3"/>
      <c r="M23" s="3"/>
      <c r="N23" s="53"/>
    </row>
    <row r="24" spans="1:14" ht="15" customHeight="1" x14ac:dyDescent="0.25">
      <c r="A24" s="40" t="str">
        <f>"ZPS-" &amp; RIGHT(TRIM(MID(K24, FIND("/",K24)+1, 10)),2) &amp; "-" &amp; TEXT(LEFT(K24, FIND("/",K24)-1), "0000")</f>
        <v>ZPS-25-0224</v>
      </c>
      <c r="B24" s="62">
        <v>23</v>
      </c>
      <c r="C24" s="63" t="s">
        <v>422</v>
      </c>
      <c r="D24" s="64" t="s">
        <v>423</v>
      </c>
      <c r="E24" s="64" t="s">
        <v>424</v>
      </c>
      <c r="F24" s="65" t="s">
        <v>90</v>
      </c>
      <c r="G24" s="63" t="s">
        <v>156</v>
      </c>
      <c r="H24" s="63" t="s">
        <v>157</v>
      </c>
      <c r="I24" s="65">
        <v>8271919099</v>
      </c>
      <c r="J24" s="66"/>
      <c r="K24" s="68" t="s">
        <v>158</v>
      </c>
      <c r="L24" s="22"/>
      <c r="M24" s="22"/>
      <c r="N24" s="54"/>
    </row>
    <row r="28" spans="1:14" ht="15.75" x14ac:dyDescent="0.25">
      <c r="B28" s="8"/>
      <c r="C28"/>
    </row>
    <row r="29" spans="1:14" x14ac:dyDescent="0.25">
      <c r="C29"/>
    </row>
    <row r="30" spans="1:14" x14ac:dyDescent="0.25">
      <c r="C30"/>
    </row>
    <row r="31" spans="1:14" x14ac:dyDescent="0.25">
      <c r="C31"/>
    </row>
    <row r="32" spans="1:14" x14ac:dyDescent="0.25">
      <c r="C32"/>
    </row>
    <row r="33" spans="3:3" x14ac:dyDescent="0.25">
      <c r="C33"/>
    </row>
  </sheetData>
  <pageMargins left="0.7" right="0.7" top="0.75" bottom="0.75" header="0.3" footer="0.3"/>
  <pageSetup scale="87" fitToHeight="0" orientation="landscape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26AFD-083B-40CD-A3F2-D051C8B199B5}">
  <dimension ref="A1:Q11"/>
  <sheetViews>
    <sheetView zoomScale="130" zoomScaleNormal="130" workbookViewId="0">
      <selection activeCell="A2" sqref="A2"/>
    </sheetView>
  </sheetViews>
  <sheetFormatPr defaultRowHeight="15" x14ac:dyDescent="0.25"/>
  <cols>
    <col min="1" max="1" width="16.140625" bestFit="1" customWidth="1"/>
    <col min="2" max="2" width="11.5703125" bestFit="1" customWidth="1"/>
    <col min="3" max="3" width="10.7109375" bestFit="1" customWidth="1"/>
    <col min="4" max="4" width="15.5703125" bestFit="1" customWidth="1"/>
    <col min="5" max="5" width="17.28515625" bestFit="1" customWidth="1"/>
    <col min="6" max="6" width="7.7109375" bestFit="1" customWidth="1"/>
    <col min="7" max="7" width="8.85546875" bestFit="1" customWidth="1"/>
    <col min="8" max="8" width="10.7109375" bestFit="1" customWidth="1"/>
    <col min="9" max="9" width="16.7109375" bestFit="1" customWidth="1"/>
    <col min="10" max="11" width="15.85546875" bestFit="1" customWidth="1"/>
    <col min="12" max="12" width="13.28515625" bestFit="1" customWidth="1"/>
    <col min="13" max="13" width="7.5703125" bestFit="1" customWidth="1"/>
    <col min="14" max="14" width="18.85546875" bestFit="1" customWidth="1"/>
    <col min="15" max="15" width="18.5703125" bestFit="1" customWidth="1"/>
    <col min="16" max="16" width="20.7109375" bestFit="1" customWidth="1"/>
    <col min="17" max="17" width="21.5703125" bestFit="1" customWidth="1"/>
  </cols>
  <sheetData>
    <row r="1" spans="1:17" x14ac:dyDescent="0.25">
      <c r="A1" s="11" t="s">
        <v>159</v>
      </c>
      <c r="B1" s="11" t="s">
        <v>160</v>
      </c>
      <c r="C1" s="11" t="s">
        <v>161</v>
      </c>
      <c r="D1" s="11" t="s">
        <v>162</v>
      </c>
      <c r="E1" s="11" t="s">
        <v>163</v>
      </c>
      <c r="F1" s="11" t="s">
        <v>164</v>
      </c>
      <c r="G1" s="11" t="s">
        <v>165</v>
      </c>
      <c r="H1" s="11" t="s">
        <v>4</v>
      </c>
      <c r="I1" s="11" t="s">
        <v>166</v>
      </c>
      <c r="J1" s="11" t="s">
        <v>167</v>
      </c>
      <c r="K1" s="11" t="s">
        <v>168</v>
      </c>
      <c r="L1" s="11" t="s">
        <v>169</v>
      </c>
      <c r="M1" s="11" t="s">
        <v>170</v>
      </c>
      <c r="N1" s="11" t="s">
        <v>171</v>
      </c>
      <c r="O1" s="11" t="s">
        <v>172</v>
      </c>
      <c r="P1" s="11" t="s">
        <v>173</v>
      </c>
      <c r="Q1" s="11" t="s">
        <v>174</v>
      </c>
    </row>
    <row r="2" spans="1:17" x14ac:dyDescent="0.25">
      <c r="A2" s="36" t="s">
        <v>263</v>
      </c>
      <c r="B2" s="36" t="s">
        <v>175</v>
      </c>
      <c r="C2" s="36" t="s">
        <v>176</v>
      </c>
      <c r="D2" s="36" t="s">
        <v>177</v>
      </c>
      <c r="E2" s="36" t="s">
        <v>178</v>
      </c>
      <c r="F2" s="36" t="s">
        <v>179</v>
      </c>
      <c r="G2" s="36" t="s">
        <v>180</v>
      </c>
      <c r="H2" s="37">
        <v>42861</v>
      </c>
      <c r="I2" s="36" t="s">
        <v>181</v>
      </c>
      <c r="J2" s="36">
        <v>7488463394</v>
      </c>
      <c r="K2" s="36">
        <v>1</v>
      </c>
      <c r="L2" s="36">
        <v>1</v>
      </c>
      <c r="M2" s="36" t="s">
        <v>182</v>
      </c>
      <c r="N2" s="36" t="s">
        <v>12</v>
      </c>
      <c r="O2" s="37">
        <v>45203</v>
      </c>
      <c r="P2" s="36" t="s">
        <v>183</v>
      </c>
      <c r="Q2" s="36" t="s">
        <v>184</v>
      </c>
    </row>
    <row r="3" spans="1:17" x14ac:dyDescent="0.25">
      <c r="A3" s="36" t="s">
        <v>185</v>
      </c>
      <c r="B3" s="36" t="s">
        <v>186</v>
      </c>
      <c r="C3" s="36" t="s">
        <v>176</v>
      </c>
      <c r="D3" s="36" t="s">
        <v>187</v>
      </c>
      <c r="E3" s="36" t="s">
        <v>188</v>
      </c>
      <c r="F3" s="36" t="s">
        <v>179</v>
      </c>
      <c r="G3" s="36" t="s">
        <v>189</v>
      </c>
      <c r="H3" s="37">
        <v>42532</v>
      </c>
      <c r="I3" s="36" t="s">
        <v>190</v>
      </c>
      <c r="J3" s="36">
        <v>7479892223</v>
      </c>
      <c r="K3" s="36">
        <v>1</v>
      </c>
      <c r="L3" s="36">
        <v>1</v>
      </c>
      <c r="M3" s="36" t="s">
        <v>182</v>
      </c>
      <c r="N3" s="36" t="s">
        <v>14</v>
      </c>
      <c r="O3" s="37">
        <v>44078</v>
      </c>
      <c r="P3" s="36" t="s">
        <v>191</v>
      </c>
      <c r="Q3" s="36" t="s">
        <v>184</v>
      </c>
    </row>
    <row r="4" spans="1:17" x14ac:dyDescent="0.25">
      <c r="A4" s="36" t="s">
        <v>192</v>
      </c>
      <c r="B4" s="36" t="s">
        <v>193</v>
      </c>
      <c r="C4" s="36" t="s">
        <v>194</v>
      </c>
      <c r="D4" s="36" t="s">
        <v>195</v>
      </c>
      <c r="E4" s="36" t="s">
        <v>196</v>
      </c>
      <c r="F4" s="36" t="s">
        <v>179</v>
      </c>
      <c r="G4" s="36" t="s">
        <v>180</v>
      </c>
      <c r="H4" s="37">
        <v>42893</v>
      </c>
      <c r="I4" s="36" t="s">
        <v>19</v>
      </c>
      <c r="J4" s="36">
        <v>7254820438</v>
      </c>
      <c r="K4" s="36">
        <v>1</v>
      </c>
      <c r="L4" s="36">
        <v>1</v>
      </c>
      <c r="M4" s="36" t="s">
        <v>182</v>
      </c>
      <c r="N4" s="36" t="s">
        <v>16</v>
      </c>
      <c r="O4" s="37">
        <v>45234</v>
      </c>
      <c r="P4" s="36" t="s">
        <v>197</v>
      </c>
      <c r="Q4" s="36" t="s">
        <v>198</v>
      </c>
    </row>
    <row r="5" spans="1:17" x14ac:dyDescent="0.25">
      <c r="A5" s="36" t="s">
        <v>199</v>
      </c>
      <c r="B5" s="36" t="s">
        <v>200</v>
      </c>
      <c r="C5" s="36" t="s">
        <v>201</v>
      </c>
      <c r="D5" s="36" t="s">
        <v>202</v>
      </c>
      <c r="E5" s="36" t="s">
        <v>203</v>
      </c>
      <c r="F5" s="36" t="s">
        <v>204</v>
      </c>
      <c r="G5" s="36" t="s">
        <v>180</v>
      </c>
      <c r="H5" s="36" t="s">
        <v>205</v>
      </c>
      <c r="I5" s="36" t="s">
        <v>206</v>
      </c>
      <c r="J5" s="36">
        <v>8795641230</v>
      </c>
      <c r="K5" s="36">
        <v>1</v>
      </c>
      <c r="L5" s="36">
        <v>1</v>
      </c>
      <c r="M5" s="36" t="s">
        <v>182</v>
      </c>
      <c r="N5" s="36" t="s">
        <v>207</v>
      </c>
      <c r="O5" s="37">
        <v>45203</v>
      </c>
      <c r="P5" s="36" t="s">
        <v>208</v>
      </c>
      <c r="Q5" s="36" t="s">
        <v>184</v>
      </c>
    </row>
    <row r="6" spans="1:17" x14ac:dyDescent="0.25">
      <c r="A6" s="36" t="s">
        <v>209</v>
      </c>
      <c r="B6" s="36" t="s">
        <v>210</v>
      </c>
      <c r="C6" s="36" t="s">
        <v>211</v>
      </c>
      <c r="D6" s="36" t="s">
        <v>212</v>
      </c>
      <c r="E6" s="36" t="s">
        <v>213</v>
      </c>
      <c r="F6" s="36" t="s">
        <v>179</v>
      </c>
      <c r="G6" s="36" t="s">
        <v>189</v>
      </c>
      <c r="H6" s="37">
        <v>42948</v>
      </c>
      <c r="I6" s="36" t="s">
        <v>214</v>
      </c>
      <c r="J6" s="36">
        <v>9123456780</v>
      </c>
      <c r="K6" s="36">
        <v>1</v>
      </c>
      <c r="L6" s="36">
        <v>1</v>
      </c>
      <c r="M6" s="36" t="s">
        <v>182</v>
      </c>
      <c r="N6" s="36" t="s">
        <v>215</v>
      </c>
      <c r="O6" s="37">
        <v>44899</v>
      </c>
      <c r="P6" s="36" t="s">
        <v>216</v>
      </c>
      <c r="Q6" s="36" t="s">
        <v>184</v>
      </c>
    </row>
    <row r="7" spans="1:17" x14ac:dyDescent="0.25">
      <c r="A7" s="36" t="s">
        <v>217</v>
      </c>
      <c r="B7" s="36" t="s">
        <v>218</v>
      </c>
      <c r="C7" s="36" t="s">
        <v>219</v>
      </c>
      <c r="D7" s="36" t="s">
        <v>220</v>
      </c>
      <c r="E7" s="36" t="s">
        <v>221</v>
      </c>
      <c r="F7" s="36" t="s">
        <v>204</v>
      </c>
      <c r="G7" s="36" t="s">
        <v>180</v>
      </c>
      <c r="H7" s="37">
        <v>42798</v>
      </c>
      <c r="I7" s="36" t="s">
        <v>222</v>
      </c>
      <c r="J7" s="36">
        <v>9876543210</v>
      </c>
      <c r="K7" s="36">
        <v>1</v>
      </c>
      <c r="L7" s="36">
        <v>1</v>
      </c>
      <c r="M7" s="36" t="s">
        <v>223</v>
      </c>
      <c r="N7" s="36" t="s">
        <v>224</v>
      </c>
      <c r="O7" s="37">
        <v>45203</v>
      </c>
      <c r="P7" s="36" t="s">
        <v>225</v>
      </c>
      <c r="Q7" s="36" t="s">
        <v>226</v>
      </c>
    </row>
    <row r="8" spans="1:17" x14ac:dyDescent="0.25">
      <c r="A8" s="36" t="s">
        <v>227</v>
      </c>
      <c r="B8" s="36" t="s">
        <v>228</v>
      </c>
      <c r="C8" s="36" t="s">
        <v>229</v>
      </c>
      <c r="D8" s="36" t="s">
        <v>230</v>
      </c>
      <c r="E8" s="36" t="s">
        <v>231</v>
      </c>
      <c r="F8" s="36" t="s">
        <v>179</v>
      </c>
      <c r="G8" s="36" t="s">
        <v>180</v>
      </c>
      <c r="H8" s="36" t="s">
        <v>232</v>
      </c>
      <c r="I8" s="36" t="s">
        <v>233</v>
      </c>
      <c r="J8" s="36">
        <v>9801234567</v>
      </c>
      <c r="K8" s="36">
        <v>1</v>
      </c>
      <c r="L8" s="36">
        <v>1</v>
      </c>
      <c r="M8" s="36" t="s">
        <v>223</v>
      </c>
      <c r="N8" s="36" t="s">
        <v>234</v>
      </c>
      <c r="O8" s="37">
        <v>45203</v>
      </c>
      <c r="P8" s="36" t="s">
        <v>235</v>
      </c>
      <c r="Q8" s="36" t="s">
        <v>184</v>
      </c>
    </row>
    <row r="9" spans="1:17" x14ac:dyDescent="0.25">
      <c r="A9" s="36" t="s">
        <v>236</v>
      </c>
      <c r="B9" s="36" t="s">
        <v>237</v>
      </c>
      <c r="C9" s="36" t="s">
        <v>238</v>
      </c>
      <c r="D9" s="36" t="s">
        <v>239</v>
      </c>
      <c r="E9" s="36" t="s">
        <v>240</v>
      </c>
      <c r="F9" s="36" t="s">
        <v>179</v>
      </c>
      <c r="G9" s="36" t="s">
        <v>189</v>
      </c>
      <c r="H9" s="37">
        <v>42652</v>
      </c>
      <c r="I9" s="36" t="s">
        <v>241</v>
      </c>
      <c r="J9" s="36">
        <v>7901234599</v>
      </c>
      <c r="K9" s="36">
        <v>1</v>
      </c>
      <c r="L9" s="36">
        <v>1</v>
      </c>
      <c r="M9" s="36" t="s">
        <v>223</v>
      </c>
      <c r="N9" s="36" t="s">
        <v>242</v>
      </c>
      <c r="O9" s="37">
        <v>44808</v>
      </c>
      <c r="P9" s="36" t="s">
        <v>243</v>
      </c>
      <c r="Q9" s="36" t="s">
        <v>244</v>
      </c>
    </row>
    <row r="10" spans="1:17" x14ac:dyDescent="0.25">
      <c r="A10" s="36" t="s">
        <v>245</v>
      </c>
      <c r="B10" s="36" t="s">
        <v>246</v>
      </c>
      <c r="C10" s="36" t="s">
        <v>247</v>
      </c>
      <c r="D10" s="36" t="s">
        <v>248</v>
      </c>
      <c r="E10" s="36" t="s">
        <v>249</v>
      </c>
      <c r="F10" s="36" t="s">
        <v>204</v>
      </c>
      <c r="G10" s="36" t="s">
        <v>180</v>
      </c>
      <c r="H10" s="36" t="s">
        <v>250</v>
      </c>
      <c r="I10" s="36" t="s">
        <v>251</v>
      </c>
      <c r="J10" s="36">
        <v>9696969696</v>
      </c>
      <c r="K10" s="36">
        <v>1</v>
      </c>
      <c r="L10" s="36">
        <v>1</v>
      </c>
      <c r="M10" s="36" t="s">
        <v>223</v>
      </c>
      <c r="N10" s="36" t="s">
        <v>252</v>
      </c>
      <c r="O10" s="37">
        <v>45203</v>
      </c>
      <c r="P10" s="36" t="s">
        <v>253</v>
      </c>
      <c r="Q10" s="36" t="s">
        <v>184</v>
      </c>
    </row>
    <row r="11" spans="1:17" x14ac:dyDescent="0.25">
      <c r="A11" s="36" t="s">
        <v>254</v>
      </c>
      <c r="B11" s="36" t="s">
        <v>255</v>
      </c>
      <c r="C11" s="36" t="s">
        <v>256</v>
      </c>
      <c r="D11" s="36" t="s">
        <v>257</v>
      </c>
      <c r="E11" s="36" t="s">
        <v>258</v>
      </c>
      <c r="F11" s="36" t="s">
        <v>179</v>
      </c>
      <c r="G11" s="36" t="s">
        <v>180</v>
      </c>
      <c r="H11" s="36" t="s">
        <v>259</v>
      </c>
      <c r="I11" s="36" t="s">
        <v>260</v>
      </c>
      <c r="J11" s="36">
        <v>8888888888</v>
      </c>
      <c r="K11" s="36">
        <v>1</v>
      </c>
      <c r="L11" s="36">
        <v>1</v>
      </c>
      <c r="M11" s="36" t="s">
        <v>223</v>
      </c>
      <c r="N11" s="36" t="s">
        <v>261</v>
      </c>
      <c r="O11" s="37">
        <v>45234</v>
      </c>
      <c r="P11" s="36" t="s">
        <v>262</v>
      </c>
      <c r="Q11" s="36" t="s">
        <v>184</v>
      </c>
    </row>
  </sheetData>
  <autoFilter ref="A1:Q11" xr:uid="{F2C26AFD-083B-40CD-A3F2-D051C8B199B5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section A</vt:lpstr>
      <vt:lpstr>section B</vt:lpstr>
      <vt:lpstr>section A (2)</vt:lpstr>
      <vt:lpstr>section B (2)</vt:lpstr>
      <vt:lpstr>Sheet1</vt:lpstr>
      <vt:lpstr>'section A'!Print_Titles</vt:lpstr>
      <vt:lpstr>'section A (2)'!Print_Titles</vt:lpstr>
      <vt:lpstr>'section B'!Print_Titles</vt:lpstr>
      <vt:lpstr>'section B (2)'!Print_Titles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2025-10-10T04:01:27Z</cp:lastPrinted>
  <dcterms:created xsi:type="dcterms:W3CDTF">2025-10-09T07:42:14Z</dcterms:created>
  <dcterms:modified xsi:type="dcterms:W3CDTF">2025-11-15T09:17:43Z</dcterms:modified>
</cp:coreProperties>
</file>